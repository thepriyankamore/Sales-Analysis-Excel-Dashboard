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D:\job\Projects\"/>
    </mc:Choice>
  </mc:AlternateContent>
  <xr:revisionPtr revIDLastSave="0" documentId="13_ncr:1_{1363120F-8D25-45FE-84D4-AFB9313C68B2}" xr6:coauthVersionLast="47" xr6:coauthVersionMax="47" xr10:uidLastSave="{00000000-0000-0000-0000-000000000000}"/>
  <bookViews>
    <workbookView xWindow="-110" yWindow="-110" windowWidth="19420" windowHeight="10300" tabRatio="713" firstSheet="1" activeTab="7" xr2:uid="{8997A756-8860-4AB4-A6FB-8D2287B6FD20}"/>
  </bookViews>
  <sheets>
    <sheet name="salesdata" sheetId="2" r:id="rId1"/>
    <sheet name="Product Sales" sheetId="6" r:id="rId2"/>
    <sheet name="monthly sales" sheetId="5" r:id="rId3"/>
    <sheet name="category sales" sheetId="4" r:id="rId4"/>
    <sheet name="Region sales" sheetId="3" r:id="rId5"/>
    <sheet name="KPI" sheetId="11" r:id="rId6"/>
    <sheet name="Dashboard" sheetId="9" r:id="rId7"/>
    <sheet name="Insights" sheetId="12" r:id="rId8"/>
  </sheets>
  <definedNames>
    <definedName name="ExternalData_1" localSheetId="0" hidden="1">salesdata!$A$1:$H$16</definedName>
    <definedName name="Slicer_Category">#N/A</definedName>
    <definedName name="Slicer_Produc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6" i="9" l="1"/>
  <c r="AC20" i="9"/>
  <c r="AC2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F94C6B-6C54-4C91-9B99-50032A1A9E84}"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<sst xmlns="http://schemas.openxmlformats.org/spreadsheetml/2006/main" count="110" uniqueCount="54">
  <si>
    <t>Order_ID</t>
  </si>
  <si>
    <t>Order_Date</t>
  </si>
  <si>
    <t>Region</t>
  </si>
  <si>
    <t>Category</t>
  </si>
  <si>
    <t>Product</t>
  </si>
  <si>
    <t>Sales</t>
  </si>
  <si>
    <t>Profit</t>
  </si>
  <si>
    <t>Customer_Name</t>
  </si>
  <si>
    <t>West</t>
  </si>
  <si>
    <t>Technology</t>
  </si>
  <si>
    <t>Laptop</t>
  </si>
  <si>
    <t>Amit Sharma</t>
  </si>
  <si>
    <t>North</t>
  </si>
  <si>
    <t>Furniture</t>
  </si>
  <si>
    <t>Chair</t>
  </si>
  <si>
    <t>Neha Verma</t>
  </si>
  <si>
    <t>South</t>
  </si>
  <si>
    <t>Office Supplies</t>
  </si>
  <si>
    <t>Pen Set</t>
  </si>
  <si>
    <t>Rahul Nair</t>
  </si>
  <si>
    <t>East</t>
  </si>
  <si>
    <t>Mobile</t>
  </si>
  <si>
    <t>Priya Singh</t>
  </si>
  <si>
    <t>Table</t>
  </si>
  <si>
    <t>Karan Patel</t>
  </si>
  <si>
    <t>Tablet</t>
  </si>
  <si>
    <t>Anjali Mehta</t>
  </si>
  <si>
    <t>Notebook</t>
  </si>
  <si>
    <t>Vikram Rao</t>
  </si>
  <si>
    <t>Sofa</t>
  </si>
  <si>
    <t>Sneha Iyer</t>
  </si>
  <si>
    <t>Headphones</t>
  </si>
  <si>
    <t>Rohit Gupta</t>
  </si>
  <si>
    <t>Printer</t>
  </si>
  <si>
    <t>Meera Joshi</t>
  </si>
  <si>
    <t>Arjun Das</t>
  </si>
  <si>
    <t>Kavita Shah</t>
  </si>
  <si>
    <t>Deepak Yadav</t>
  </si>
  <si>
    <t>Pooja Kulkarni</t>
  </si>
  <si>
    <t>Manoj Kumar</t>
  </si>
  <si>
    <t>Sum of Sales</t>
  </si>
  <si>
    <t>Grand Total</t>
  </si>
  <si>
    <t>Sum of Profit</t>
  </si>
  <si>
    <t>Jan</t>
  </si>
  <si>
    <t>Feb</t>
  </si>
  <si>
    <r>
      <rPr>
        <b/>
        <sz val="12"/>
        <color theme="4" tint="-0.249977111117893"/>
        <rFont val="Calibri"/>
        <family val="2"/>
        <scheme val="minor"/>
      </rPr>
      <t>Insights:</t>
    </r>
    <r>
      <rPr>
        <b/>
        <sz val="12"/>
        <color theme="1"/>
        <rFont val="Calibri"/>
        <family val="2"/>
        <scheme val="minor"/>
      </rPr>
      <t>'South' Region is making more Sales</t>
    </r>
  </si>
  <si>
    <r>
      <rPr>
        <b/>
        <sz val="12"/>
        <color theme="4" tint="-0.249977111117893"/>
        <rFont val="Calibri"/>
        <family val="2"/>
        <scheme val="minor"/>
      </rPr>
      <t>Insights</t>
    </r>
    <r>
      <rPr>
        <b/>
        <sz val="12"/>
        <color theme="1"/>
        <rFont val="Calibri"/>
        <family val="2"/>
        <scheme val="minor"/>
      </rPr>
      <t>:Technology category generating most revenue</t>
    </r>
  </si>
  <si>
    <t xml:space="preserve">Month </t>
  </si>
  <si>
    <r>
      <rPr>
        <b/>
        <sz val="12"/>
        <color theme="4" tint="-0.249977111117893"/>
        <rFont val="Calibri"/>
        <family val="2"/>
        <scheme val="minor"/>
      </rPr>
      <t>Insights</t>
    </r>
    <r>
      <rPr>
        <b/>
        <sz val="12"/>
        <rFont val="Calibri"/>
        <family val="2"/>
        <scheme val="minor"/>
      </rPr>
      <t>:Laptop,mobile are giving good revenue</t>
    </r>
  </si>
  <si>
    <r>
      <rPr>
        <b/>
        <sz val="12"/>
        <color theme="4"/>
        <rFont val="Calibri"/>
        <family val="2"/>
        <scheme val="minor"/>
      </rPr>
      <t xml:space="preserve">Insights: </t>
    </r>
    <r>
      <rPr>
        <b/>
        <sz val="12"/>
        <rFont val="Calibri"/>
        <family val="2"/>
        <scheme val="minor"/>
      </rPr>
      <t>In January month business performance was good</t>
    </r>
  </si>
  <si>
    <t>Sales Dashboard</t>
  </si>
  <si>
    <t>Total Sales</t>
  </si>
  <si>
    <t>Total Profit</t>
  </si>
  <si>
    <t>No.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</si>
</sst>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2"/>
      <color theme="1"/>
      <name val="Calibri"/>
      <family val="2"/>
      <scheme val="minor"/>
    </font>
    <font>
      <b/>
      <sz val="12"/>
      <color theme="4"/>
      <name val="Calibri"/>
      <family val="2"/>
      <scheme val="minor"/>
    </font>
    <font>
      <b/>
      <sz val="12"/>
      <color theme="4" tint="-0.249977111117893"/>
      <name val="Calibri"/>
      <family val="2"/>
      <scheme val="minor"/>
    </font>
    <font>
      <b/>
      <sz val="12"/>
      <name val="Calibri"/>
      <family val="2"/>
      <scheme val="minor"/>
    </font>
    <font>
      <b/>
      <sz val="36"/>
      <color theme="1"/>
      <name val="Calibri"/>
      <family val="2"/>
      <scheme val="minor"/>
    </font>
    <font>
      <b/>
      <sz val="20"/>
      <color theme="1"/>
      <name val="Calibri"/>
      <family val="2"/>
      <scheme val="minor"/>
    </font>
    <font>
      <sz val="24"/>
      <color theme="1"/>
      <name val="Calibri"/>
      <family val="2"/>
      <scheme val="minor"/>
    </font>
    <font>
      <sz val="26"/>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4" tint="0.39997558519241921"/>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5">
    <xf numFmtId="0" fontId="0" fillId="0" borderId="0" xfId="0"/>
    <xf numFmtId="1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1" fillId="2" borderId="0" xfId="0" applyFont="1" applyFill="1"/>
    <xf numFmtId="0" fontId="2" fillId="2" borderId="0" xfId="0" applyFont="1" applyFill="1"/>
    <xf numFmtId="0" fontId="7" fillId="4" borderId="2" xfId="0" applyFont="1" applyFill="1" applyBorder="1"/>
    <xf numFmtId="0" fontId="9" fillId="0" borderId="0" xfId="0" applyFont="1"/>
    <xf numFmtId="1" fontId="0" fillId="0" borderId="0" xfId="0" applyNumberFormat="1"/>
    <xf numFmtId="1" fontId="8" fillId="0" borderId="0" xfId="0" applyNumberFormat="1" applyFont="1" applyAlignment="1">
      <alignment horizontal="center"/>
    </xf>
    <xf numFmtId="0" fontId="6" fillId="3" borderId="0" xfId="0" applyFont="1" applyFill="1" applyAlignment="1">
      <alignment horizontal="center"/>
    </xf>
    <xf numFmtId="0" fontId="0" fillId="3" borderId="0" xfId="0" applyFill="1" applyAlignment="1">
      <alignment horizontal="center"/>
    </xf>
    <xf numFmtId="0" fontId="10" fillId="4" borderId="0" xfId="0" applyFont="1" applyFill="1"/>
    <xf numFmtId="0" fontId="10" fillId="4" borderId="2" xfId="0" applyFont="1" applyFill="1" applyBorder="1"/>
  </cellXfs>
  <cellStyles count="1">
    <cellStyle name="Normal" xfId="0" builtinId="0"/>
  </cellStyles>
  <dxfs count="35">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of products.xlsx]Product Sales!PivotTable4</c:name>
    <c:fmtId val="0"/>
  </c:pivotSource>
  <c:chart>
    <c:title>
      <c:tx>
        <c:rich>
          <a:bodyPr/>
          <a:lstStyle/>
          <a:p>
            <a:pPr>
              <a:defRPr sz="1400" b="0" spc="0"/>
            </a:pPr>
            <a:r>
              <a:rPr lang="en-US">
                <a:solidFill>
                  <a:schemeClr val="tx1"/>
                </a:solidFill>
              </a:rPr>
              <a:t>  Product Sales</a:t>
            </a:r>
          </a:p>
        </c:rich>
      </c:tx>
      <c:overlay val="0"/>
      <c:spPr>
        <a:solidFill>
          <a:schemeClr val="accent1">
            <a:lumMod val="40000"/>
            <a:lumOff val="60000"/>
          </a:schemeClr>
        </a:solidFill>
        <a:ln>
          <a:solidFill>
            <a:schemeClr val="accent1">
              <a:lumMod val="50000"/>
              <a:alpha val="96000"/>
            </a:schemeClr>
          </a:solidFill>
        </a:ln>
      </c:spPr>
    </c:title>
    <c:autoTitleDeleted val="0"/>
    <c:pivotFmts>
      <c:pivotFmt>
        <c:idx val="0"/>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c:spPr>
                </c15:leaderLines>
              </c:ext>
            </c:extLst>
          </c:dLbls>
          <c:cat>
            <c:strRef>
              <c:f>'Product Sales'!$A$4:$A$14</c:f>
              <c:strCache>
                <c:ptCount val="10"/>
                <c:pt idx="0">
                  <c:v>Laptop</c:v>
                </c:pt>
                <c:pt idx="1">
                  <c:v>Mobile</c:v>
                </c:pt>
                <c:pt idx="2">
                  <c:v>Sofa</c:v>
                </c:pt>
                <c:pt idx="3">
                  <c:v>Table</c:v>
                </c:pt>
                <c:pt idx="4">
                  <c:v>Tablet</c:v>
                </c:pt>
                <c:pt idx="5">
                  <c:v>Printer</c:v>
                </c:pt>
                <c:pt idx="6">
                  <c:v>Chair</c:v>
                </c:pt>
                <c:pt idx="7">
                  <c:v>Headphones</c:v>
                </c:pt>
                <c:pt idx="8">
                  <c:v>Pen Set</c:v>
                </c:pt>
                <c:pt idx="9">
                  <c:v>Notebook</c:v>
                </c:pt>
              </c:strCache>
            </c:strRef>
          </c:cat>
          <c:val>
            <c:numRef>
              <c:f>'Product Sales'!$B$4:$B$14</c:f>
              <c:numCache>
                <c:formatCode>General</c:formatCode>
                <c:ptCount val="10"/>
                <c:pt idx="0">
                  <c:v>115000</c:v>
                </c:pt>
                <c:pt idx="1">
                  <c:v>42000</c:v>
                </c:pt>
                <c:pt idx="2">
                  <c:v>25000</c:v>
                </c:pt>
                <c:pt idx="3">
                  <c:v>15000</c:v>
                </c:pt>
                <c:pt idx="4">
                  <c:v>15000</c:v>
                </c:pt>
                <c:pt idx="5">
                  <c:v>12000</c:v>
                </c:pt>
                <c:pt idx="6">
                  <c:v>8500</c:v>
                </c:pt>
                <c:pt idx="7">
                  <c:v>3000</c:v>
                </c:pt>
                <c:pt idx="8">
                  <c:v>1200</c:v>
                </c:pt>
                <c:pt idx="9">
                  <c:v>1200</c:v>
                </c:pt>
              </c:numCache>
            </c:numRef>
          </c:val>
          <c:extLst>
            <c:ext xmlns:c16="http://schemas.microsoft.com/office/drawing/2014/chart" uri="{C3380CC4-5D6E-409C-BE32-E72D297353CC}">
              <c16:uniqueId val="{00000003-E690-4FA8-BB7D-041A11DD4AC5}"/>
            </c:ext>
          </c:extLst>
        </c:ser>
        <c:dLbls>
          <c:dLblPos val="outEnd"/>
          <c:showLegendKey val="0"/>
          <c:showVal val="1"/>
          <c:showCatName val="0"/>
          <c:showSerName val="0"/>
          <c:showPercent val="0"/>
          <c:showBubbleSize val="0"/>
        </c:dLbls>
        <c:gapWidth val="182"/>
        <c:axId val="106714367"/>
        <c:axId val="106712447"/>
      </c:barChart>
      <c:catAx>
        <c:axId val="106714367"/>
        <c:scaling>
          <c:orientation val="minMax"/>
        </c:scaling>
        <c:delete val="0"/>
        <c:axPos val="b"/>
        <c:numFmt formatCode="General" sourceLinked="1"/>
        <c:majorTickMark val="out"/>
        <c:minorTickMark val="none"/>
        <c:tickLblPos val="nextTo"/>
        <c:spPr>
          <a:ln w="9525">
            <a:solidFill>
              <a:schemeClr val="tx1"/>
            </a:solidFill>
          </a:ln>
        </c:spPr>
        <c:txPr>
          <a:bodyPr/>
          <a:lstStyle/>
          <a:p>
            <a:pPr>
              <a:defRPr sz="900">
                <a:ln>
                  <a:noFill/>
                </a:ln>
                <a:solidFill>
                  <a:schemeClr val="bg2">
                    <a:lumMod val="10000"/>
                  </a:schemeClr>
                </a:solidFill>
              </a:defRPr>
            </a:pPr>
            <a:endParaRPr lang="en-US"/>
          </a:p>
        </c:txPr>
        <c:crossAx val="106712447"/>
        <c:crosses val="autoZero"/>
        <c:auto val="1"/>
        <c:lblAlgn val="ctr"/>
        <c:lblOffset val="100"/>
        <c:noMultiLvlLbl val="0"/>
      </c:catAx>
      <c:valAx>
        <c:axId val="106712447"/>
        <c:scaling>
          <c:orientation val="minMax"/>
        </c:scaling>
        <c:delete val="0"/>
        <c:axPos val="l"/>
        <c:majorGridlines>
          <c:spPr>
            <a:ln w="9525">
              <a:solidFill>
                <a:schemeClr val="tx1">
                  <a:lumMod val="15000"/>
                  <a:lumOff val="85000"/>
                </a:schemeClr>
              </a:solidFill>
            </a:ln>
          </c:spPr>
        </c:majorGridlines>
        <c:numFmt formatCode="General" sourceLinked="1"/>
        <c:majorTickMark val="out"/>
        <c:minorTickMark val="none"/>
        <c:tickLblPos val="nextTo"/>
        <c:spPr>
          <a:ln>
            <a:noFill/>
          </a:ln>
        </c:spPr>
        <c:txPr>
          <a:bodyPr/>
          <a:lstStyle/>
          <a:p>
            <a:pPr>
              <a:defRPr sz="900"/>
            </a:pPr>
            <a:endParaRPr lang="en-US"/>
          </a:p>
        </c:txPr>
        <c:crossAx val="1067143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of products.xlsx]monthly sales!Monthly_Sales</c:name>
    <c:fmtId val="0"/>
  </c:pivotSource>
  <c:chart>
    <c:title>
      <c:tx>
        <c:rich>
          <a:bodyPr/>
          <a:lstStyle/>
          <a:p>
            <a:pPr>
              <a:defRPr sz="1400" b="0" spc="0"/>
            </a:pPr>
            <a:r>
              <a:rPr lang="en-US">
                <a:solidFill>
                  <a:schemeClr val="tx1"/>
                </a:solidFill>
              </a:rPr>
              <a:t> Monthly Sales</a:t>
            </a:r>
          </a:p>
        </c:rich>
      </c:tx>
      <c:overlay val="0"/>
      <c:spPr>
        <a:solidFill>
          <a:schemeClr val="accent1">
            <a:lumMod val="40000"/>
            <a:lumOff val="60000"/>
          </a:schemeClr>
        </a:solidFill>
        <a:ln>
          <a:solidFill>
            <a:schemeClr val="accent1">
              <a:lumMod val="50000"/>
              <a:alpha val="96000"/>
            </a:schemeClr>
          </a:solidFill>
        </a:ln>
      </c:spPr>
    </c:title>
    <c:autoTitleDeleted val="0"/>
    <c:pivotFmts>
      <c:pivotFmt>
        <c:idx val="0"/>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c:spPr>
                </c15:leaderLines>
              </c:ext>
            </c:extLst>
          </c:dLbls>
          <c:cat>
            <c:strRef>
              <c:f>'monthly sales'!$A$4:$A$6</c:f>
              <c:strCache>
                <c:ptCount val="2"/>
                <c:pt idx="0">
                  <c:v>Jan</c:v>
                </c:pt>
                <c:pt idx="1">
                  <c:v>Feb</c:v>
                </c:pt>
              </c:strCache>
            </c:strRef>
          </c:cat>
          <c:val>
            <c:numRef>
              <c:f>'monthly sales'!$B$4:$B$6</c:f>
              <c:numCache>
                <c:formatCode>General</c:formatCode>
                <c:ptCount val="2"/>
                <c:pt idx="0">
                  <c:v>142700</c:v>
                </c:pt>
                <c:pt idx="1">
                  <c:v>95200</c:v>
                </c:pt>
              </c:numCache>
            </c:numRef>
          </c:val>
          <c:extLst>
            <c:ext xmlns:c16="http://schemas.microsoft.com/office/drawing/2014/chart" uri="{C3380CC4-5D6E-409C-BE32-E72D297353CC}">
              <c16:uniqueId val="{00000001-1686-46E8-8282-DAD427CE7C3A}"/>
            </c:ext>
          </c:extLst>
        </c:ser>
        <c:dLbls>
          <c:dLblPos val="outEnd"/>
          <c:showLegendKey val="0"/>
          <c:showVal val="1"/>
          <c:showCatName val="0"/>
          <c:showSerName val="0"/>
          <c:showPercent val="0"/>
          <c:showBubbleSize val="0"/>
        </c:dLbls>
        <c:gapWidth val="182"/>
        <c:axId val="106714367"/>
        <c:axId val="106712447"/>
      </c:barChart>
      <c:catAx>
        <c:axId val="106714367"/>
        <c:scaling>
          <c:orientation val="minMax"/>
        </c:scaling>
        <c:delete val="0"/>
        <c:axPos val="b"/>
        <c:numFmt formatCode="General" sourceLinked="1"/>
        <c:majorTickMark val="out"/>
        <c:minorTickMark val="none"/>
        <c:tickLblPos val="nextTo"/>
        <c:spPr>
          <a:ln w="9525">
            <a:solidFill>
              <a:schemeClr val="tx1"/>
            </a:solidFill>
          </a:ln>
        </c:spPr>
        <c:txPr>
          <a:bodyPr/>
          <a:lstStyle/>
          <a:p>
            <a:pPr>
              <a:defRPr sz="900">
                <a:ln>
                  <a:noFill/>
                </a:ln>
                <a:solidFill>
                  <a:schemeClr val="bg2">
                    <a:lumMod val="10000"/>
                  </a:schemeClr>
                </a:solidFill>
              </a:defRPr>
            </a:pPr>
            <a:endParaRPr lang="en-US"/>
          </a:p>
        </c:txPr>
        <c:crossAx val="106712447"/>
        <c:crosses val="autoZero"/>
        <c:auto val="1"/>
        <c:lblAlgn val="ctr"/>
        <c:lblOffset val="100"/>
        <c:noMultiLvlLbl val="0"/>
      </c:catAx>
      <c:valAx>
        <c:axId val="106712447"/>
        <c:scaling>
          <c:orientation val="minMax"/>
        </c:scaling>
        <c:delete val="0"/>
        <c:axPos val="l"/>
        <c:majorGridlines>
          <c:spPr>
            <a:ln w="9525">
              <a:solidFill>
                <a:schemeClr val="tx1">
                  <a:lumMod val="15000"/>
                  <a:lumOff val="85000"/>
                </a:schemeClr>
              </a:solidFill>
            </a:ln>
          </c:spPr>
        </c:majorGridlines>
        <c:numFmt formatCode="General" sourceLinked="1"/>
        <c:majorTickMark val="out"/>
        <c:minorTickMark val="none"/>
        <c:tickLblPos val="nextTo"/>
        <c:spPr>
          <a:ln>
            <a:noFill/>
          </a:ln>
        </c:spPr>
        <c:txPr>
          <a:bodyPr/>
          <a:lstStyle/>
          <a:p>
            <a:pPr>
              <a:defRPr sz="900"/>
            </a:pPr>
            <a:endParaRPr lang="en-US"/>
          </a:p>
        </c:txPr>
        <c:crossAx val="1067143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of products.xlsx]category sales!Profit_by_Category</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 Profit by Category</a:t>
            </a:r>
          </a:p>
        </c:rich>
      </c:tx>
      <c:overlay val="0"/>
      <c:spPr>
        <a:solidFill>
          <a:schemeClr val="accent1">
            <a:lumMod val="40000"/>
            <a:lumOff val="60000"/>
          </a:schemeClr>
        </a:solidFill>
        <a:ln>
          <a:solidFill>
            <a:schemeClr val="accent1">
              <a:lumMod val="50000"/>
              <a:alpha val="96000"/>
            </a:schemeClr>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65000"/>
            </a:schemeClr>
          </a:solidFill>
          <a:ln>
            <a:noFill/>
          </a:ln>
          <a:effectLst/>
        </c:spPr>
        <c:dLbl>
          <c:idx val="0"/>
          <c:layout>
            <c:manualLayout>
              <c:x val="6.2000124000248001E-3"/>
              <c:y val="-3.66805277663652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1.5500031000062E-2"/>
              <c:y val="-1.83402638831826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hade val="65000"/>
            </a:schemeClr>
          </a:solidFill>
          <a:ln>
            <a:noFill/>
          </a:ln>
          <a:effectLst/>
        </c:spPr>
        <c:dLbl>
          <c:idx val="0"/>
          <c:layout>
            <c:manualLayout>
              <c:x val="6.2000124000248001E-3"/>
              <c:y val="-3.66805277663652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1.5500031000062E-2"/>
              <c:y val="-1.83402638831826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tint val="65000"/>
            </a:schemeClr>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hade val="65000"/>
            </a:schemeClr>
          </a:solidFill>
          <a:ln>
            <a:noFill/>
          </a:ln>
          <a:effectLst/>
        </c:spPr>
        <c:dLbl>
          <c:idx val="0"/>
          <c:layout>
            <c:manualLayout>
              <c:x val="6.2000124000248001E-3"/>
              <c:y val="-3.66805277663652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dLbl>
          <c:idx val="0"/>
          <c:layout>
            <c:manualLayout>
              <c:x val="-1.5500031000062E-2"/>
              <c:y val="-1.83402638831826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tint val="65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hade val="65000"/>
            </a:schemeClr>
          </a:solidFill>
          <a:ln>
            <a:noFill/>
          </a:ln>
          <a:effectLst/>
        </c:spPr>
        <c:dLbl>
          <c:idx val="0"/>
          <c:layout>
            <c:manualLayout>
              <c:x val="6.2000124000248001E-3"/>
              <c:y val="-3.66805277663652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dLbl>
          <c:idx val="0"/>
          <c:layout>
            <c:manualLayout>
              <c:x val="-1.5500031000062E-2"/>
              <c:y val="-1.83402638831826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tint val="65000"/>
            </a:schemeClr>
          </a:solidFill>
          <a:ln>
            <a:noFill/>
          </a:ln>
          <a:effectLst/>
        </c:spPr>
      </c:pivotFmt>
    </c:pivotFmts>
    <c:plotArea>
      <c:layout/>
      <c:pieChart>
        <c:varyColors val="1"/>
        <c:ser>
          <c:idx val="0"/>
          <c:order val="0"/>
          <c:tx>
            <c:strRef>
              <c:f>'category sales'!$B$3</c:f>
              <c:strCache>
                <c:ptCount val="1"/>
                <c:pt idx="0">
                  <c:v>Total</c:v>
                </c:pt>
              </c:strCache>
            </c:strRef>
          </c:tx>
          <c:spPr>
            <a:effectLst/>
          </c:spPr>
          <c:dPt>
            <c:idx val="0"/>
            <c:bubble3D val="0"/>
            <c:spPr>
              <a:solidFill>
                <a:schemeClr val="accent1">
                  <a:shade val="65000"/>
                </a:schemeClr>
              </a:solidFill>
              <a:ln>
                <a:noFill/>
              </a:ln>
              <a:effectLst/>
            </c:spPr>
            <c:extLst>
              <c:ext xmlns:c16="http://schemas.microsoft.com/office/drawing/2014/chart" uri="{C3380CC4-5D6E-409C-BE32-E72D297353CC}">
                <c16:uniqueId val="{00000008-FED8-4E8A-A892-04F1ED512D0A}"/>
              </c:ext>
            </c:extLst>
          </c:dPt>
          <c:dPt>
            <c:idx val="1"/>
            <c:bubble3D val="0"/>
            <c:spPr>
              <a:solidFill>
                <a:schemeClr val="accent1"/>
              </a:solidFill>
              <a:ln>
                <a:noFill/>
              </a:ln>
              <a:effectLst/>
            </c:spPr>
            <c:extLst>
              <c:ext xmlns:c16="http://schemas.microsoft.com/office/drawing/2014/chart" uri="{C3380CC4-5D6E-409C-BE32-E72D297353CC}">
                <c16:uniqueId val="{0000000A-FED8-4E8A-A892-04F1ED512D0A}"/>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C-FED8-4E8A-A892-04F1ED512D0A}"/>
              </c:ext>
            </c:extLst>
          </c:dPt>
          <c:dLbls>
            <c:dLbl>
              <c:idx val="0"/>
              <c:layout>
                <c:manualLayout>
                  <c:x val="6.2000124000248001E-3"/>
                  <c:y val="-3.66805277663652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ED8-4E8A-A892-04F1ED512D0A}"/>
                </c:ext>
              </c:extLst>
            </c:dLbl>
            <c:dLbl>
              <c:idx val="1"/>
              <c:layout>
                <c:manualLayout>
                  <c:x val="-1.5500031000062E-2"/>
                  <c:y val="-1.83402638831826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FED8-4E8A-A892-04F1ED512D0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sales'!$A$4:$A$7</c:f>
              <c:strCache>
                <c:ptCount val="3"/>
                <c:pt idx="0">
                  <c:v>Technology</c:v>
                </c:pt>
                <c:pt idx="1">
                  <c:v>Furniture</c:v>
                </c:pt>
                <c:pt idx="2">
                  <c:v>Office Supplies</c:v>
                </c:pt>
              </c:strCache>
            </c:strRef>
          </c:cat>
          <c:val>
            <c:numRef>
              <c:f>'category sales'!$B$4:$B$7</c:f>
              <c:numCache>
                <c:formatCode>General</c:formatCode>
                <c:ptCount val="3"/>
                <c:pt idx="0">
                  <c:v>26700</c:v>
                </c:pt>
                <c:pt idx="1">
                  <c:v>7300</c:v>
                </c:pt>
                <c:pt idx="2">
                  <c:v>2650</c:v>
                </c:pt>
              </c:numCache>
            </c:numRef>
          </c:val>
          <c:extLst>
            <c:ext xmlns:c16="http://schemas.microsoft.com/office/drawing/2014/chart" uri="{C3380CC4-5D6E-409C-BE32-E72D297353CC}">
              <c16:uniqueId val="{0000000D-FED8-4E8A-A892-04F1ED512D0A}"/>
            </c:ext>
          </c:extLst>
        </c:ser>
        <c:dLbls>
          <c:showLegendKey val="0"/>
          <c:showVal val="0"/>
          <c:showCatName val="0"/>
          <c:showSerName val="0"/>
          <c:showPercent val="0"/>
          <c:showBubbleSize val="0"/>
          <c:showLeaderLines val="0"/>
        </c:dLbls>
        <c:firstSliceAng val="113"/>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of products.xlsx]Region sales!Sales_By_Region</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Region</a:t>
            </a:r>
          </a:p>
        </c:rich>
      </c:tx>
      <c:overlay val="0"/>
      <c:spPr>
        <a:solidFill>
          <a:schemeClr val="accent1">
            <a:lumMod val="40000"/>
            <a:lumOff val="60000"/>
          </a:schemeClr>
        </a:solidFill>
        <a:ln>
          <a:solidFill>
            <a:schemeClr val="accent1">
              <a:lumMod val="50000"/>
              <a:alpha val="96000"/>
            </a:schemeClr>
          </a:solidFill>
        </a:ln>
        <a:effectLst/>
      </c:sp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sales'!$A$4:$A$8</c:f>
              <c:strCache>
                <c:ptCount val="4"/>
                <c:pt idx="0">
                  <c:v>South</c:v>
                </c:pt>
                <c:pt idx="1">
                  <c:v>West</c:v>
                </c:pt>
                <c:pt idx="2">
                  <c:v>North</c:v>
                </c:pt>
                <c:pt idx="3">
                  <c:v>East</c:v>
                </c:pt>
              </c:strCache>
            </c:strRef>
          </c:cat>
          <c:val>
            <c:numRef>
              <c:f>'Region sales'!$B$4:$B$8</c:f>
              <c:numCache>
                <c:formatCode>General</c:formatCode>
                <c:ptCount val="4"/>
                <c:pt idx="0">
                  <c:v>69700</c:v>
                </c:pt>
                <c:pt idx="1">
                  <c:v>65700</c:v>
                </c:pt>
                <c:pt idx="2">
                  <c:v>53000</c:v>
                </c:pt>
                <c:pt idx="3">
                  <c:v>49500</c:v>
                </c:pt>
              </c:numCache>
            </c:numRef>
          </c:val>
          <c:extLst>
            <c:ext xmlns:c16="http://schemas.microsoft.com/office/drawing/2014/chart" uri="{C3380CC4-5D6E-409C-BE32-E72D297353CC}">
              <c16:uniqueId val="{00000001-195A-41F3-A1D0-664AB043763B}"/>
            </c:ext>
          </c:extLst>
        </c:ser>
        <c:dLbls>
          <c:dLblPos val="outEnd"/>
          <c:showLegendKey val="0"/>
          <c:showVal val="1"/>
          <c:showCatName val="0"/>
          <c:showSerName val="0"/>
          <c:showPercent val="0"/>
          <c:showBubbleSize val="0"/>
        </c:dLbls>
        <c:gapWidth val="182"/>
        <c:axId val="106714367"/>
        <c:axId val="106712447"/>
      </c:barChart>
      <c:catAx>
        <c:axId val="106714367"/>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bg2">
                    <a:lumMod val="10000"/>
                  </a:schemeClr>
                </a:solidFill>
                <a:latin typeface="+mn-lt"/>
                <a:ea typeface="+mn-ea"/>
                <a:cs typeface="+mn-cs"/>
              </a:defRPr>
            </a:pPr>
            <a:endParaRPr lang="en-US"/>
          </a:p>
        </c:txPr>
        <c:crossAx val="106712447"/>
        <c:crosses val="autoZero"/>
        <c:auto val="1"/>
        <c:lblAlgn val="ctr"/>
        <c:lblOffset val="100"/>
        <c:noMultiLvlLbl val="0"/>
      </c:catAx>
      <c:valAx>
        <c:axId val="10671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143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of products.xlsx]Product Sales!PivotTable4</c:name>
    <c:fmtId val="12"/>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r>
              <a:rPr lang="en-US" sz="1800" b="0" i="0" u="none" strike="noStrike" kern="1200" spc="0" baseline="0">
                <a:solidFill>
                  <a:sysClr val="windowText" lastClr="000000"/>
                </a:solidFill>
                <a:latin typeface="+mn-lt"/>
                <a:ea typeface="+mn-ea"/>
                <a:cs typeface="+mn-cs"/>
              </a:rPr>
              <a:t>  Product Sales</a:t>
            </a:r>
          </a:p>
        </c:rich>
      </c:tx>
      <c:overlay val="0"/>
      <c:spPr>
        <a:solidFill>
          <a:schemeClr val="accent1">
            <a:lumMod val="40000"/>
            <a:lumOff val="60000"/>
          </a:schemeClr>
        </a:solidFill>
        <a:ln>
          <a:solidFill>
            <a:schemeClr val="accent1">
              <a:lumMod val="50000"/>
              <a:alpha val="96000"/>
            </a:schemeClr>
          </a:solidFill>
        </a:ln>
        <a:effectLst/>
      </c:spPr>
    </c:title>
    <c:autoTitleDeleted val="0"/>
    <c:pivotFmts>
      <c:pivotFmt>
        <c:idx val="0"/>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83963935047855E-2"/>
          <c:y val="0.30090037125660235"/>
          <c:w val="0.87704276417420957"/>
          <c:h val="0.52386355260706641"/>
        </c:manualLayout>
      </c:layout>
      <c:barChart>
        <c:barDir val="col"/>
        <c:grouping val="clustered"/>
        <c:varyColors val="0"/>
        <c:ser>
          <c:idx val="0"/>
          <c:order val="0"/>
          <c:tx>
            <c:strRef>
              <c:f>'Product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Sales'!$A$4:$A$14</c:f>
              <c:strCache>
                <c:ptCount val="10"/>
                <c:pt idx="0">
                  <c:v>Laptop</c:v>
                </c:pt>
                <c:pt idx="1">
                  <c:v>Mobile</c:v>
                </c:pt>
                <c:pt idx="2">
                  <c:v>Sofa</c:v>
                </c:pt>
                <c:pt idx="3">
                  <c:v>Table</c:v>
                </c:pt>
                <c:pt idx="4">
                  <c:v>Tablet</c:v>
                </c:pt>
                <c:pt idx="5">
                  <c:v>Printer</c:v>
                </c:pt>
                <c:pt idx="6">
                  <c:v>Chair</c:v>
                </c:pt>
                <c:pt idx="7">
                  <c:v>Headphones</c:v>
                </c:pt>
                <c:pt idx="8">
                  <c:v>Pen Set</c:v>
                </c:pt>
                <c:pt idx="9">
                  <c:v>Notebook</c:v>
                </c:pt>
              </c:strCache>
            </c:strRef>
          </c:cat>
          <c:val>
            <c:numRef>
              <c:f>'Product Sales'!$B$4:$B$14</c:f>
              <c:numCache>
                <c:formatCode>General</c:formatCode>
                <c:ptCount val="10"/>
                <c:pt idx="0">
                  <c:v>115000</c:v>
                </c:pt>
                <c:pt idx="1">
                  <c:v>42000</c:v>
                </c:pt>
                <c:pt idx="2">
                  <c:v>25000</c:v>
                </c:pt>
                <c:pt idx="3">
                  <c:v>15000</c:v>
                </c:pt>
                <c:pt idx="4">
                  <c:v>15000</c:v>
                </c:pt>
                <c:pt idx="5">
                  <c:v>12000</c:v>
                </c:pt>
                <c:pt idx="6">
                  <c:v>8500</c:v>
                </c:pt>
                <c:pt idx="7">
                  <c:v>3000</c:v>
                </c:pt>
                <c:pt idx="8">
                  <c:v>1200</c:v>
                </c:pt>
                <c:pt idx="9">
                  <c:v>1200</c:v>
                </c:pt>
              </c:numCache>
            </c:numRef>
          </c:val>
          <c:extLst>
            <c:ext xmlns:c16="http://schemas.microsoft.com/office/drawing/2014/chart" uri="{C3380CC4-5D6E-409C-BE32-E72D297353CC}">
              <c16:uniqueId val="{00000003-B724-42E5-9867-DB5CD9A55462}"/>
            </c:ext>
          </c:extLst>
        </c:ser>
        <c:dLbls>
          <c:dLblPos val="outEnd"/>
          <c:showLegendKey val="0"/>
          <c:showVal val="1"/>
          <c:showCatName val="0"/>
          <c:showSerName val="0"/>
          <c:showPercent val="0"/>
          <c:showBubbleSize val="0"/>
        </c:dLbls>
        <c:gapWidth val="182"/>
        <c:axId val="106714367"/>
        <c:axId val="106712447"/>
      </c:barChart>
      <c:catAx>
        <c:axId val="106714367"/>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bg2">
                    <a:lumMod val="10000"/>
                  </a:schemeClr>
                </a:solidFill>
                <a:latin typeface="+mn-lt"/>
                <a:ea typeface="+mn-ea"/>
                <a:cs typeface="+mn-cs"/>
              </a:defRPr>
            </a:pPr>
            <a:endParaRPr lang="en-US"/>
          </a:p>
        </c:txPr>
        <c:crossAx val="106712447"/>
        <c:crosses val="autoZero"/>
        <c:auto val="1"/>
        <c:lblAlgn val="ctr"/>
        <c:lblOffset val="100"/>
        <c:noMultiLvlLbl val="0"/>
      </c:catAx>
      <c:valAx>
        <c:axId val="10671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143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of products.xlsx]monthly sales!Monthly_Sales</c:name>
    <c:fmtId val="3"/>
  </c:pivotSource>
  <c:chart>
    <c:title>
      <c:tx>
        <c:rich>
          <a:bodyPr/>
          <a:lstStyle/>
          <a:p>
            <a:pPr>
              <a:defRPr sz="1800" b="0" spc="0"/>
            </a:pPr>
            <a:r>
              <a:rPr lang="en-US" sz="1800" b="0" i="0" u="none" strike="noStrike" baseline="0"/>
              <a:t>Monthly Sales</a:t>
            </a:r>
            <a:endParaRPr lang="en-US" sz="1800">
              <a:solidFill>
                <a:schemeClr val="tx1"/>
              </a:solidFill>
            </a:endParaRPr>
          </a:p>
        </c:rich>
      </c:tx>
      <c:layout>
        <c:manualLayout>
          <c:xMode val="edge"/>
          <c:yMode val="edge"/>
          <c:x val="0.37761354166666666"/>
          <c:y val="2.4197048611111112E-2"/>
        </c:manualLayout>
      </c:layout>
      <c:overlay val="0"/>
      <c:spPr>
        <a:solidFill>
          <a:schemeClr val="accent1">
            <a:lumMod val="40000"/>
            <a:lumOff val="60000"/>
          </a:schemeClr>
        </a:solidFill>
        <a:ln>
          <a:solidFill>
            <a:schemeClr val="accent1">
              <a:lumMod val="50000"/>
              <a:alpha val="96000"/>
            </a:schemeClr>
          </a:solidFill>
        </a:ln>
      </c:spPr>
    </c:title>
    <c:autoTitleDeleted val="0"/>
    <c:pivotFmts>
      <c:pivotFmt>
        <c:idx val="0"/>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c:spPr>
                </c15:leaderLines>
              </c:ext>
            </c:extLst>
          </c:dLbls>
          <c:cat>
            <c:strRef>
              <c:f>'monthly sales'!$A$4:$A$6</c:f>
              <c:strCache>
                <c:ptCount val="2"/>
                <c:pt idx="0">
                  <c:v>Jan</c:v>
                </c:pt>
                <c:pt idx="1">
                  <c:v>Feb</c:v>
                </c:pt>
              </c:strCache>
            </c:strRef>
          </c:cat>
          <c:val>
            <c:numRef>
              <c:f>'monthly sales'!$B$4:$B$6</c:f>
              <c:numCache>
                <c:formatCode>General</c:formatCode>
                <c:ptCount val="2"/>
                <c:pt idx="0">
                  <c:v>142700</c:v>
                </c:pt>
                <c:pt idx="1">
                  <c:v>95200</c:v>
                </c:pt>
              </c:numCache>
            </c:numRef>
          </c:val>
          <c:extLst>
            <c:ext xmlns:c16="http://schemas.microsoft.com/office/drawing/2014/chart" uri="{C3380CC4-5D6E-409C-BE32-E72D297353CC}">
              <c16:uniqueId val="{00000001-DE32-4DA0-A6A8-2204559F768F}"/>
            </c:ext>
          </c:extLst>
        </c:ser>
        <c:dLbls>
          <c:dLblPos val="outEnd"/>
          <c:showLegendKey val="0"/>
          <c:showVal val="1"/>
          <c:showCatName val="0"/>
          <c:showSerName val="0"/>
          <c:showPercent val="0"/>
          <c:showBubbleSize val="0"/>
        </c:dLbls>
        <c:gapWidth val="182"/>
        <c:axId val="106714367"/>
        <c:axId val="106712447"/>
      </c:barChart>
      <c:catAx>
        <c:axId val="106714367"/>
        <c:scaling>
          <c:orientation val="minMax"/>
        </c:scaling>
        <c:delete val="0"/>
        <c:axPos val="b"/>
        <c:numFmt formatCode="General" sourceLinked="1"/>
        <c:majorTickMark val="out"/>
        <c:minorTickMark val="none"/>
        <c:tickLblPos val="nextTo"/>
        <c:spPr>
          <a:ln w="9525">
            <a:solidFill>
              <a:schemeClr val="tx1"/>
            </a:solidFill>
          </a:ln>
        </c:spPr>
        <c:txPr>
          <a:bodyPr/>
          <a:lstStyle/>
          <a:p>
            <a:pPr>
              <a:defRPr sz="900">
                <a:ln>
                  <a:noFill/>
                </a:ln>
                <a:solidFill>
                  <a:schemeClr val="bg2">
                    <a:lumMod val="10000"/>
                  </a:schemeClr>
                </a:solidFill>
              </a:defRPr>
            </a:pPr>
            <a:endParaRPr lang="en-US"/>
          </a:p>
        </c:txPr>
        <c:crossAx val="106712447"/>
        <c:crosses val="autoZero"/>
        <c:auto val="1"/>
        <c:lblAlgn val="ctr"/>
        <c:lblOffset val="100"/>
        <c:noMultiLvlLbl val="0"/>
      </c:catAx>
      <c:valAx>
        <c:axId val="106712447"/>
        <c:scaling>
          <c:orientation val="minMax"/>
        </c:scaling>
        <c:delete val="0"/>
        <c:axPos val="l"/>
        <c:majorGridlines>
          <c:spPr>
            <a:ln w="9525">
              <a:solidFill>
                <a:schemeClr val="tx1">
                  <a:lumMod val="15000"/>
                  <a:lumOff val="85000"/>
                </a:schemeClr>
              </a:solidFill>
            </a:ln>
          </c:spPr>
        </c:majorGridlines>
        <c:numFmt formatCode="General" sourceLinked="1"/>
        <c:majorTickMark val="out"/>
        <c:minorTickMark val="none"/>
        <c:tickLblPos val="nextTo"/>
        <c:spPr>
          <a:ln>
            <a:noFill/>
          </a:ln>
        </c:spPr>
        <c:txPr>
          <a:bodyPr/>
          <a:lstStyle/>
          <a:p>
            <a:pPr>
              <a:defRPr sz="900"/>
            </a:pPr>
            <a:endParaRPr lang="en-US"/>
          </a:p>
        </c:txPr>
        <c:crossAx val="106714367"/>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of products.xlsx]category sales!Profit_by_Category</c:name>
    <c:fmtId val="5"/>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r>
              <a:rPr lang="en-US" sz="1800" b="0" i="0" u="none" strike="noStrike" kern="1200" spc="0" baseline="0">
                <a:solidFill>
                  <a:sysClr val="windowText" lastClr="000000"/>
                </a:solidFill>
                <a:latin typeface="+mn-lt"/>
                <a:ea typeface="+mn-ea"/>
                <a:cs typeface="+mn-cs"/>
              </a:rPr>
              <a:t>Profit by Category</a:t>
            </a:r>
          </a:p>
        </c:rich>
      </c:tx>
      <c:overlay val="0"/>
      <c:spPr>
        <a:solidFill>
          <a:schemeClr val="accent1">
            <a:lumMod val="40000"/>
            <a:lumOff val="60000"/>
          </a:schemeClr>
        </a:solidFill>
        <a:ln>
          <a:solidFill>
            <a:schemeClr val="accent1">
              <a:lumMod val="50000"/>
              <a:alpha val="96000"/>
            </a:schemeClr>
          </a:solidFill>
        </a:ln>
        <a:effectLst/>
      </c:spPr>
      <c:txPr>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65000"/>
            </a:schemeClr>
          </a:solidFill>
          <a:ln>
            <a:noFill/>
          </a:ln>
          <a:effectLst/>
        </c:spPr>
        <c:dLbl>
          <c:idx val="0"/>
          <c:layout>
            <c:manualLayout>
              <c:x val="6.2000124000248001E-3"/>
              <c:y val="-3.6680527766365253E-2"/>
            </c:manualLayout>
          </c:layout>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1.5500031000062E-2"/>
              <c:y val="-1.8340263883182668E-2"/>
            </c:manualLayout>
          </c:layout>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tint val="65000"/>
            </a:schemeClr>
          </a:solidFill>
          <a:ln>
            <a:noFill/>
          </a:ln>
          <a:effectLst/>
        </c:spPr>
      </c:pivotFmt>
    </c:pivotFmts>
    <c:plotArea>
      <c:layout/>
      <c:pieChart>
        <c:varyColors val="1"/>
        <c:ser>
          <c:idx val="0"/>
          <c:order val="0"/>
          <c:tx>
            <c:strRef>
              <c:f>'category sales'!$B$3</c:f>
              <c:strCache>
                <c:ptCount val="1"/>
                <c:pt idx="0">
                  <c:v>Total</c:v>
                </c:pt>
              </c:strCache>
            </c:strRef>
          </c:tx>
          <c:spPr>
            <a:effectLst/>
          </c:spPr>
          <c:dPt>
            <c:idx val="0"/>
            <c:bubble3D val="0"/>
            <c:spPr>
              <a:solidFill>
                <a:schemeClr val="accent1">
                  <a:shade val="65000"/>
                </a:schemeClr>
              </a:solidFill>
              <a:ln>
                <a:noFill/>
              </a:ln>
              <a:effectLst/>
            </c:spPr>
            <c:extLst>
              <c:ext xmlns:c16="http://schemas.microsoft.com/office/drawing/2014/chart" uri="{C3380CC4-5D6E-409C-BE32-E72D297353CC}">
                <c16:uniqueId val="{00000008-1676-4B21-AF7F-D479A527DC78}"/>
              </c:ext>
            </c:extLst>
          </c:dPt>
          <c:dPt>
            <c:idx val="1"/>
            <c:bubble3D val="0"/>
            <c:spPr>
              <a:solidFill>
                <a:schemeClr val="accent1"/>
              </a:solidFill>
              <a:ln>
                <a:noFill/>
              </a:ln>
              <a:effectLst/>
            </c:spPr>
            <c:extLst>
              <c:ext xmlns:c16="http://schemas.microsoft.com/office/drawing/2014/chart" uri="{C3380CC4-5D6E-409C-BE32-E72D297353CC}">
                <c16:uniqueId val="{00000009-1676-4B21-AF7F-D479A527DC78}"/>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5-ED95-4A72-8BFF-D79AF8E4A03B}"/>
              </c:ext>
            </c:extLst>
          </c:dPt>
          <c:dLbls>
            <c:dLbl>
              <c:idx val="0"/>
              <c:layout>
                <c:manualLayout>
                  <c:x val="6.2000124000248001E-3"/>
                  <c:y val="-3.66805277663652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676-4B21-AF7F-D479A527DC78}"/>
                </c:ext>
              </c:extLst>
            </c:dLbl>
            <c:dLbl>
              <c:idx val="1"/>
              <c:layout>
                <c:manualLayout>
                  <c:x val="-1.5500031000062E-2"/>
                  <c:y val="-1.83402638831826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676-4B21-AF7F-D479A527DC78}"/>
                </c:ext>
              </c:extLst>
            </c:dLbl>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sales'!$A$4:$A$7</c:f>
              <c:strCache>
                <c:ptCount val="3"/>
                <c:pt idx="0">
                  <c:v>Technology</c:v>
                </c:pt>
                <c:pt idx="1">
                  <c:v>Furniture</c:v>
                </c:pt>
                <c:pt idx="2">
                  <c:v>Office Supplies</c:v>
                </c:pt>
              </c:strCache>
            </c:strRef>
          </c:cat>
          <c:val>
            <c:numRef>
              <c:f>'category sales'!$B$4:$B$7</c:f>
              <c:numCache>
                <c:formatCode>General</c:formatCode>
                <c:ptCount val="3"/>
                <c:pt idx="0">
                  <c:v>26700</c:v>
                </c:pt>
                <c:pt idx="1">
                  <c:v>7300</c:v>
                </c:pt>
                <c:pt idx="2">
                  <c:v>2650</c:v>
                </c:pt>
              </c:numCache>
            </c:numRef>
          </c:val>
          <c:extLst>
            <c:ext xmlns:c16="http://schemas.microsoft.com/office/drawing/2014/chart" uri="{C3380CC4-5D6E-409C-BE32-E72D297353CC}">
              <c16:uniqueId val="{00000007-1676-4B21-AF7F-D479A527DC78}"/>
            </c:ext>
          </c:extLst>
        </c:ser>
        <c:dLbls>
          <c:showLegendKey val="0"/>
          <c:showVal val="0"/>
          <c:showCatName val="0"/>
          <c:showSerName val="0"/>
          <c:showPercent val="0"/>
          <c:showBubbleSize val="0"/>
          <c:showLeaderLines val="0"/>
        </c:dLbls>
        <c:firstSliceAng val="113"/>
      </c:pieChart>
      <c:spPr>
        <a:noFill/>
        <a:ln>
          <a:noFill/>
        </a:ln>
        <a:effectLst/>
      </c:spPr>
    </c:plotArea>
    <c:plotVisOnly val="1"/>
    <c:dispBlanksAs val="gap"/>
    <c:showDLblsOverMax val="0"/>
    <c:extLst/>
  </c:chart>
  <c:spPr>
    <a:noFill/>
    <a:ln w="9525" cap="flat" cmpd="sng" algn="ctr">
      <a:noFill/>
      <a:prstDash val="solid"/>
      <a:round/>
    </a:ln>
    <a:effectLst/>
  </c:spPr>
  <c:txPr>
    <a:bodyPr/>
    <a:lstStyle/>
    <a:p>
      <a:pPr algn="ctr" rtl="0">
        <a:defRPr lang="en-US" sz="1400" b="0" i="0" u="none" strike="noStrike" kern="1200" spc="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of products.xlsx]Region sales!Sales_By_Region</c:name>
    <c:fmtId val="9"/>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r>
              <a:rPr lang="en-US" sz="1800" b="0" i="0" u="none" strike="noStrike" kern="1200" spc="0" baseline="0">
                <a:solidFill>
                  <a:sysClr val="windowText" lastClr="000000"/>
                </a:solidFill>
                <a:latin typeface="+mn-lt"/>
                <a:ea typeface="+mn-ea"/>
                <a:cs typeface="+mn-cs"/>
              </a:rPr>
              <a:t>Sales by Region</a:t>
            </a:r>
          </a:p>
        </c:rich>
      </c:tx>
      <c:overlay val="0"/>
      <c:spPr>
        <a:solidFill>
          <a:schemeClr val="accent1">
            <a:lumMod val="40000"/>
            <a:lumOff val="60000"/>
          </a:schemeClr>
        </a:solidFill>
        <a:ln>
          <a:solidFill>
            <a:schemeClr val="accent1">
              <a:lumMod val="50000"/>
              <a:alpha val="96000"/>
            </a:schemeClr>
          </a:solidFill>
        </a:ln>
        <a:effectLst/>
      </c:spPr>
      <c:txPr>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sales'!$A$4:$A$8</c:f>
              <c:strCache>
                <c:ptCount val="4"/>
                <c:pt idx="0">
                  <c:v>South</c:v>
                </c:pt>
                <c:pt idx="1">
                  <c:v>West</c:v>
                </c:pt>
                <c:pt idx="2">
                  <c:v>North</c:v>
                </c:pt>
                <c:pt idx="3">
                  <c:v>East</c:v>
                </c:pt>
              </c:strCache>
            </c:strRef>
          </c:cat>
          <c:val>
            <c:numRef>
              <c:f>'Region sales'!$B$4:$B$8</c:f>
              <c:numCache>
                <c:formatCode>General</c:formatCode>
                <c:ptCount val="4"/>
                <c:pt idx="0">
                  <c:v>69700</c:v>
                </c:pt>
                <c:pt idx="1">
                  <c:v>65700</c:v>
                </c:pt>
                <c:pt idx="2">
                  <c:v>53000</c:v>
                </c:pt>
                <c:pt idx="3">
                  <c:v>49500</c:v>
                </c:pt>
              </c:numCache>
            </c:numRef>
          </c:val>
          <c:extLst>
            <c:ext xmlns:c16="http://schemas.microsoft.com/office/drawing/2014/chart" uri="{C3380CC4-5D6E-409C-BE32-E72D297353CC}">
              <c16:uniqueId val="{00000000-DC33-47A3-992D-D693C32C2227}"/>
            </c:ext>
          </c:extLst>
        </c:ser>
        <c:dLbls>
          <c:dLblPos val="outEnd"/>
          <c:showLegendKey val="0"/>
          <c:showVal val="1"/>
          <c:showCatName val="0"/>
          <c:showSerName val="0"/>
          <c:showPercent val="0"/>
          <c:showBubbleSize val="0"/>
        </c:dLbls>
        <c:gapWidth val="182"/>
        <c:axId val="106714367"/>
        <c:axId val="106712447"/>
      </c:barChart>
      <c:catAx>
        <c:axId val="106714367"/>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noFill/>
                </a:ln>
                <a:solidFill>
                  <a:schemeClr val="bg2">
                    <a:lumMod val="10000"/>
                  </a:schemeClr>
                </a:solidFill>
                <a:latin typeface="+mn-lt"/>
                <a:ea typeface="+mn-ea"/>
                <a:cs typeface="+mn-cs"/>
              </a:defRPr>
            </a:pPr>
            <a:endParaRPr lang="en-US"/>
          </a:p>
        </c:txPr>
        <c:crossAx val="106712447"/>
        <c:crosses val="autoZero"/>
        <c:auto val="1"/>
        <c:lblAlgn val="ctr"/>
        <c:lblOffset val="100"/>
        <c:noMultiLvlLbl val="0"/>
      </c:catAx>
      <c:valAx>
        <c:axId val="10671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1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200025</xdr:colOff>
      <xdr:row>4</xdr:row>
      <xdr:rowOff>22225</xdr:rowOff>
    </xdr:from>
    <xdr:to>
      <xdr:col>10</xdr:col>
      <xdr:colOff>504825</xdr:colOff>
      <xdr:row>19</xdr:row>
      <xdr:rowOff>3175</xdr:rowOff>
    </xdr:to>
    <xdr:graphicFrame macro="">
      <xdr:nvGraphicFramePr>
        <xdr:cNvPr id="2" name="Chart 1">
          <a:extLst>
            <a:ext uri="{FF2B5EF4-FFF2-40B4-BE49-F238E27FC236}">
              <a16:creationId xmlns:a16="http://schemas.microsoft.com/office/drawing/2014/main" id="{46EFDC13-461D-F3D3-9562-61B256144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396875</xdr:colOff>
      <xdr:row>3</xdr:row>
      <xdr:rowOff>142875</xdr:rowOff>
    </xdr:from>
    <xdr:to>
      <xdr:col>10</xdr:col>
      <xdr:colOff>92075</xdr:colOff>
      <xdr:row>18</xdr:row>
      <xdr:rowOff>123825</xdr:rowOff>
    </xdr:to>
    <xdr:graphicFrame macro="">
      <xdr:nvGraphicFramePr>
        <xdr:cNvPr id="2" name="Chart 1">
          <a:extLst>
            <a:ext uri="{FF2B5EF4-FFF2-40B4-BE49-F238E27FC236}">
              <a16:creationId xmlns:a16="http://schemas.microsoft.com/office/drawing/2014/main" id="{B3FD17D8-A95C-DDBB-FD24-1B90D5BCA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111125</xdr:colOff>
      <xdr:row>3</xdr:row>
      <xdr:rowOff>155575</xdr:rowOff>
    </xdr:from>
    <xdr:to>
      <xdr:col>10</xdr:col>
      <xdr:colOff>285750</xdr:colOff>
      <xdr:row>17</xdr:row>
      <xdr:rowOff>152400</xdr:rowOff>
    </xdr:to>
    <xdr:graphicFrame macro="">
      <xdr:nvGraphicFramePr>
        <xdr:cNvPr id="2" name="Chart 1">
          <a:extLst>
            <a:ext uri="{FF2B5EF4-FFF2-40B4-BE49-F238E27FC236}">
              <a16:creationId xmlns:a16="http://schemas.microsoft.com/office/drawing/2014/main" id="{D5A1EFC7-A3B0-E8D7-A8A2-C604110D8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463550</xdr:colOff>
      <xdr:row>4</xdr:row>
      <xdr:rowOff>19049</xdr:rowOff>
    </xdr:from>
    <xdr:to>
      <xdr:col>9</xdr:col>
      <xdr:colOff>552450</xdr:colOff>
      <xdr:row>16</xdr:row>
      <xdr:rowOff>161924</xdr:rowOff>
    </xdr:to>
    <xdr:graphicFrame macro="">
      <xdr:nvGraphicFramePr>
        <xdr:cNvPr id="2" name="Chart 1">
          <a:extLst>
            <a:ext uri="{FF2B5EF4-FFF2-40B4-BE49-F238E27FC236}">
              <a16:creationId xmlns:a16="http://schemas.microsoft.com/office/drawing/2014/main" id="{BA297472-5905-F499-7A44-E1BBE6EDA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430460</xdr:colOff>
      <xdr:row>3</xdr:row>
      <xdr:rowOff>17227</xdr:rowOff>
    </xdr:from>
    <xdr:to>
      <xdr:col>17</xdr:col>
      <xdr:colOff>71369</xdr:colOff>
      <xdr:row>22</xdr:row>
      <xdr:rowOff>7045</xdr:rowOff>
    </xdr:to>
    <xdr:graphicFrame macro="">
      <xdr:nvGraphicFramePr>
        <xdr:cNvPr id="2" name="Chart 1">
          <a:extLst>
            <a:ext uri="{FF2B5EF4-FFF2-40B4-BE49-F238E27FC236}">
              <a16:creationId xmlns:a16="http://schemas.microsoft.com/office/drawing/2014/main" id="{ED19DD15-4692-430F-82F0-05546708A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263395</xdr:colOff>
      <xdr:row>3</xdr:row>
      <xdr:rowOff>17227</xdr:rowOff>
    </xdr:from>
    <xdr:to>
      <xdr:col>26</xdr:col>
      <xdr:colOff>516214</xdr:colOff>
      <xdr:row>22</xdr:row>
      <xdr:rowOff>7045</xdr:rowOff>
    </xdr:to>
    <xdr:graphicFrame macro="">
      <xdr:nvGraphicFramePr>
        <xdr:cNvPr id="3" name="Chart 2">
          <a:extLst>
            <a:ext uri="{FF2B5EF4-FFF2-40B4-BE49-F238E27FC236}">
              <a16:creationId xmlns:a16="http://schemas.microsoft.com/office/drawing/2014/main" id="{A86A0C93-D182-42EF-AD2E-D8803A2C3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442006</xdr:colOff>
      <xdr:row>23</xdr:row>
      <xdr:rowOff>49436</xdr:rowOff>
    </xdr:from>
    <xdr:to>
      <xdr:col>17</xdr:col>
      <xdr:colOff>82915</xdr:colOff>
      <xdr:row>48</xdr:row>
      <xdr:rowOff>39254</xdr:rowOff>
    </xdr:to>
    <xdr:graphicFrame macro="">
      <xdr:nvGraphicFramePr>
        <xdr:cNvPr id="4" name="Chart 3">
          <a:extLst>
            <a:ext uri="{FF2B5EF4-FFF2-40B4-BE49-F238E27FC236}">
              <a16:creationId xmlns:a16="http://schemas.microsoft.com/office/drawing/2014/main" id="{C6DAFBB9-9230-48DC-9594-F57C95E25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274940</xdr:colOff>
      <xdr:row>23</xdr:row>
      <xdr:rowOff>49437</xdr:rowOff>
    </xdr:from>
    <xdr:to>
      <xdr:col>26</xdr:col>
      <xdr:colOff>588818</xdr:colOff>
      <xdr:row>47</xdr:row>
      <xdr:rowOff>34638</xdr:rowOff>
    </xdr:to>
    <xdr:graphicFrame macro="">
      <xdr:nvGraphicFramePr>
        <xdr:cNvPr id="5" name="Chart 4">
          <a:extLst>
            <a:ext uri="{FF2B5EF4-FFF2-40B4-BE49-F238E27FC236}">
              <a16:creationId xmlns:a16="http://schemas.microsoft.com/office/drawing/2014/main" id="{23EAA9BB-B15D-45D5-8886-DB832CE1C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33538</xdr:colOff>
      <xdr:row>18</xdr:row>
      <xdr:rowOff>261413</xdr:rowOff>
    </xdr:from>
    <xdr:to>
      <xdr:col>7</xdr:col>
      <xdr:colOff>96020</xdr:colOff>
      <xdr:row>33</xdr:row>
      <xdr:rowOff>16049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62A5C6D-375B-7D83-BE6A-8BB2E32BF9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81174" y="3967504"/>
              <a:ext cx="1898210" cy="3322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33538</xdr:colOff>
      <xdr:row>30</xdr:row>
      <xdr:rowOff>77924</xdr:rowOff>
    </xdr:from>
    <xdr:to>
      <xdr:col>7</xdr:col>
      <xdr:colOff>96020</xdr:colOff>
      <xdr:row>46</xdr:row>
      <xdr:rowOff>150092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CE5D0193-7964-7A34-EF4C-D0BECDC0E9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81174" y="6797379"/>
              <a:ext cx="1898210" cy="327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33538</xdr:colOff>
      <xdr:row>3</xdr:row>
      <xdr:rowOff>112971</xdr:rowOff>
    </xdr:from>
    <xdr:to>
      <xdr:col>7</xdr:col>
      <xdr:colOff>96020</xdr:colOff>
      <xdr:row>18</xdr:row>
      <xdr:rowOff>260153</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92E818BA-1942-C053-0FAF-CE10259A1DC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81174" y="667153"/>
              <a:ext cx="1898210" cy="329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xdr:colOff>
      <xdr:row>0</xdr:row>
      <xdr:rowOff>158750</xdr:rowOff>
    </xdr:from>
    <xdr:to>
      <xdr:col>13</xdr:col>
      <xdr:colOff>127000</xdr:colOff>
      <xdr:row>16</xdr:row>
      <xdr:rowOff>88900</xdr:rowOff>
    </xdr:to>
    <xdr:sp macro="" textlink="">
      <xdr:nvSpPr>
        <xdr:cNvPr id="2" name="TextBox 1">
          <a:extLst>
            <a:ext uri="{FF2B5EF4-FFF2-40B4-BE49-F238E27FC236}">
              <a16:creationId xmlns:a16="http://schemas.microsoft.com/office/drawing/2014/main" id="{C622030C-6E38-92CE-1BC5-04441C6D85E7}"/>
            </a:ext>
          </a:extLst>
        </xdr:cNvPr>
        <xdr:cNvSpPr txBox="1"/>
      </xdr:nvSpPr>
      <xdr:spPr>
        <a:xfrm>
          <a:off x="615950" y="158750"/>
          <a:ext cx="7435850" cy="28765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t>Sales Dashboard – Key Insights</a:t>
          </a:r>
        </a:p>
        <a:p>
          <a:pPr marL="171450" indent="-171450">
            <a:buFont typeface="Wingdings" panose="05000000000000000000" pitchFamily="2" charset="2"/>
            <a:buChar char="q"/>
          </a:pPr>
          <a:r>
            <a:rPr lang="en-US" sz="1400"/>
            <a:t>Technology category contributes the highest profit (~73%), making it the most profitable segment. </a:t>
          </a:r>
        </a:p>
        <a:p>
          <a:pPr marL="171450" indent="-171450">
            <a:buFont typeface="Wingdings" panose="05000000000000000000" pitchFamily="2" charset="2"/>
            <a:buChar char="q"/>
          </a:pPr>
          <a:r>
            <a:rPr lang="en-US" sz="1400"/>
            <a:t>South region has the highest sales (~69,700), followed by West, while East shows the lowest performance. </a:t>
          </a:r>
        </a:p>
        <a:p>
          <a:pPr marL="171450" indent="-171450">
            <a:buFont typeface="Wingdings" panose="05000000000000000000" pitchFamily="2" charset="2"/>
            <a:buChar char="q"/>
          </a:pPr>
          <a:r>
            <a:rPr lang="en-US" sz="1400"/>
            <a:t>Laptop is the top-selling product (~115,000), followed by Mobile, indicating strong demand for electronic items. </a:t>
          </a:r>
        </a:p>
        <a:p>
          <a:pPr marL="171450" indent="-171450">
            <a:buFont typeface="Wingdings" panose="05000000000000000000" pitchFamily="2" charset="2"/>
            <a:buChar char="q"/>
          </a:pPr>
          <a:r>
            <a:rPr lang="en-US" sz="1400"/>
            <a:t>Sales decreased from January (~142,700) to February (~95,200), showing a downward trend. </a:t>
          </a:r>
        </a:p>
        <a:p>
          <a:pPr marL="171450" indent="-171450">
            <a:buFont typeface="Wingdings" panose="05000000000000000000" pitchFamily="2" charset="2"/>
            <a:buChar char="q"/>
          </a:pPr>
          <a:r>
            <a:rPr lang="en-US" sz="1400"/>
            <a:t>Office Supplies contributes the least profit (~7%), indicating low profitability in this category. </a:t>
          </a:r>
        </a:p>
        <a:p>
          <a:pPr marL="171450" indent="-171450">
            <a:buFont typeface="Wingdings" panose="05000000000000000000" pitchFamily="2" charset="2"/>
            <a:buChar char="q"/>
          </a:pPr>
          <a:r>
            <a:rPr lang="en-US" sz="1400"/>
            <a:t>Overall performance shows total sales of 237,900 with a profit of 36,650 across 15 orders.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6.677390856479" createdVersion="8" refreshedVersion="8" minRefreshableVersion="3" recordCount="15" xr:uid="{1EE9BC25-5B24-4803-9317-B3F9202317B5}">
  <cacheSource type="worksheet">
    <worksheetSource name="salesdata"/>
  </cacheSource>
  <cacheFields count="10">
    <cacheField name="Order_ID" numFmtId="0">
      <sharedItems containsSemiMixedTypes="0" containsString="0" containsNumber="1" containsInteger="1" minValue="1001" maxValue="1015"/>
    </cacheField>
    <cacheField name="Order_Date" numFmtId="14">
      <sharedItems containsSemiMixedTypes="0" containsNonDate="0" containsDate="1" containsString="0" minDate="2024-01-05T00:00:00" maxDate="2024-02-15T00:00:00" count="15">
        <d v="2024-01-05T00:00:00"/>
        <d v="2024-01-07T00:00:00"/>
        <d v="2024-01-10T00:00:00"/>
        <d v="2024-01-12T00:00:00"/>
        <d v="2024-01-15T00:00:00"/>
        <d v="2024-01-18T00:00:00"/>
        <d v="2024-01-20T00:00:00"/>
        <d v="2024-01-22T00:00:00"/>
        <d v="2024-01-25T00:00:00"/>
        <d v="2024-01-28T00:00:00"/>
        <d v="2024-02-02T00:00:00"/>
        <d v="2024-02-05T00:00:00"/>
        <d v="2024-02-08T00:00:00"/>
        <d v="2024-02-10T00:00:00"/>
        <d v="2024-02-14T00:00:00"/>
      </sharedItems>
      <fieldGroup par="9"/>
    </cacheField>
    <cacheField name="Region" numFmtId="0">
      <sharedItems count="4">
        <s v="West"/>
        <s v="North"/>
        <s v="South"/>
        <s v="East"/>
      </sharedItems>
    </cacheField>
    <cacheField name="Category" numFmtId="0">
      <sharedItems count="3">
        <s v="Technology"/>
        <s v="Furniture"/>
        <s v="Office Supplies"/>
      </sharedItems>
    </cacheField>
    <cacheField name="Product" numFmtId="0">
      <sharedItems count="10">
        <s v="Laptop"/>
        <s v="Chair"/>
        <s v="Pen Set"/>
        <s v="Mobile"/>
        <s v="Table"/>
        <s v="Tablet"/>
        <s v="Notebook"/>
        <s v="Sofa"/>
        <s v="Headphones"/>
        <s v="Printer"/>
      </sharedItems>
    </cacheField>
    <cacheField name="Sales" numFmtId="0">
      <sharedItems containsSemiMixedTypes="0" containsString="0" containsNumber="1" containsInteger="1" minValue="500" maxValue="60000"/>
    </cacheField>
    <cacheField name="Profit" numFmtId="0">
      <sharedItems containsSemiMixedTypes="0" containsString="0" containsNumber="1" containsInteger="1" minValue="150" maxValue="9000"/>
    </cacheField>
    <cacheField name="Customer_Name" numFmtId="0">
      <sharedItems/>
    </cacheField>
    <cacheField name="Days (Order_Date)" numFmtId="0" databaseField="0">
      <fieldGroup base="1">
        <rangePr groupBy="days" startDate="2024-01-05T00:00:00" endDate="2024-02-15T00:00:00"/>
        <groupItems count="368">
          <s v="&lt;05-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4"/>
        </groupItems>
      </fieldGroup>
    </cacheField>
    <cacheField name="Months (Order_Date)" numFmtId="0" databaseField="0">
      <fieldGroup base="1">
        <rangePr groupBy="months" startDate="2024-01-05T00:00:00" endDate="2024-02-15T00:00:00"/>
        <groupItems count="14">
          <s v="&lt;05-01-24"/>
          <s v="Jan"/>
          <s v="Feb"/>
          <s v="Mar"/>
          <s v="Apr"/>
          <s v="May"/>
          <s v="Jun"/>
          <s v="Jul"/>
          <s v="Aug"/>
          <s v="Sep"/>
          <s v="Oct"/>
          <s v="Nov"/>
          <s v="Dec"/>
          <s v="&gt;15-02-24"/>
        </groupItems>
      </fieldGroup>
    </cacheField>
  </cacheFields>
  <extLst>
    <ext xmlns:x14="http://schemas.microsoft.com/office/spreadsheetml/2009/9/main" uri="{725AE2AE-9491-48be-B2B4-4EB974FC3084}">
      <x14:pivotCacheDefinition pivotCacheId="1065807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n v="55000"/>
    <n v="8000"/>
    <s v="Amit Sharma"/>
  </r>
  <r>
    <n v="1002"/>
    <x v="1"/>
    <x v="1"/>
    <x v="1"/>
    <x v="1"/>
    <n v="4000"/>
    <n v="500"/>
    <s v="Neha Verma"/>
  </r>
  <r>
    <n v="1003"/>
    <x v="2"/>
    <x v="2"/>
    <x v="2"/>
    <x v="2"/>
    <n v="500"/>
    <n v="150"/>
    <s v="Rahul Nair"/>
  </r>
  <r>
    <n v="1004"/>
    <x v="3"/>
    <x v="3"/>
    <x v="0"/>
    <x v="3"/>
    <n v="20000"/>
    <n v="3000"/>
    <s v="Priya Singh"/>
  </r>
  <r>
    <n v="1005"/>
    <x v="4"/>
    <x v="0"/>
    <x v="1"/>
    <x v="4"/>
    <n v="7000"/>
    <n v="1000"/>
    <s v="Karan Patel"/>
  </r>
  <r>
    <n v="1006"/>
    <x v="5"/>
    <x v="1"/>
    <x v="0"/>
    <x v="5"/>
    <n v="15000"/>
    <n v="2500"/>
    <s v="Anjali Mehta"/>
  </r>
  <r>
    <n v="1007"/>
    <x v="6"/>
    <x v="2"/>
    <x v="2"/>
    <x v="6"/>
    <n v="1200"/>
    <n v="300"/>
    <s v="Vikram Rao"/>
  </r>
  <r>
    <n v="1008"/>
    <x v="7"/>
    <x v="3"/>
    <x v="1"/>
    <x v="7"/>
    <n v="25000"/>
    <n v="4000"/>
    <s v="Sneha Iyer"/>
  </r>
  <r>
    <n v="1009"/>
    <x v="8"/>
    <x v="0"/>
    <x v="0"/>
    <x v="8"/>
    <n v="3000"/>
    <n v="700"/>
    <s v="Rohit Gupta"/>
  </r>
  <r>
    <n v="1010"/>
    <x v="9"/>
    <x v="1"/>
    <x v="2"/>
    <x v="9"/>
    <n v="12000"/>
    <n v="2000"/>
    <s v="Meera Joshi"/>
  </r>
  <r>
    <n v="1011"/>
    <x v="10"/>
    <x v="2"/>
    <x v="0"/>
    <x v="0"/>
    <n v="60000"/>
    <n v="9000"/>
    <s v="Arjun Das"/>
  </r>
  <r>
    <n v="1012"/>
    <x v="11"/>
    <x v="3"/>
    <x v="1"/>
    <x v="1"/>
    <n v="4500"/>
    <n v="600"/>
    <s v="Kavita Shah"/>
  </r>
  <r>
    <n v="1013"/>
    <x v="12"/>
    <x v="0"/>
    <x v="2"/>
    <x v="2"/>
    <n v="700"/>
    <n v="200"/>
    <s v="Deepak Yadav"/>
  </r>
  <r>
    <n v="1014"/>
    <x v="13"/>
    <x v="1"/>
    <x v="0"/>
    <x v="3"/>
    <n v="22000"/>
    <n v="3500"/>
    <s v="Pooja Kulkarni"/>
  </r>
  <r>
    <n v="1015"/>
    <x v="14"/>
    <x v="2"/>
    <x v="1"/>
    <x v="4"/>
    <n v="8000"/>
    <n v="1200"/>
    <s v="Manoj Kum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3F5DF-CB79-4F3C-A57E-3C5F20E534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roduct">
  <location ref="A3:B14" firstHeaderRow="1" firstDataRow="1" firstDataCol="1"/>
  <pivotFields count="10">
    <pivotField showAll="0"/>
    <pivotField numFmtId="14" showAll="0">
      <items count="16">
        <item x="0"/>
        <item x="1"/>
        <item x="2"/>
        <item x="3"/>
        <item x="4"/>
        <item x="5"/>
        <item x="6"/>
        <item x="7"/>
        <item x="8"/>
        <item x="9"/>
        <item x="10"/>
        <item x="11"/>
        <item x="12"/>
        <item x="13"/>
        <item x="14"/>
        <item t="default"/>
      </items>
    </pivotField>
    <pivotField showAll="0">
      <items count="5">
        <item x="3"/>
        <item x="1"/>
        <item x="2"/>
        <item x="0"/>
        <item t="default"/>
      </items>
    </pivotField>
    <pivotField showAll="0">
      <items count="4">
        <item x="1"/>
        <item x="2"/>
        <item x="0"/>
        <item t="default"/>
      </items>
    </pivotField>
    <pivotField axis="axisRow" showAll="0" sortType="descending">
      <items count="11">
        <item x="1"/>
        <item x="8"/>
        <item x="0"/>
        <item x="3"/>
        <item x="6"/>
        <item x="2"/>
        <item x="9"/>
        <item x="7"/>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2"/>
    </i>
    <i>
      <x v="3"/>
    </i>
    <i>
      <x v="7"/>
    </i>
    <i>
      <x v="8"/>
    </i>
    <i>
      <x v="9"/>
    </i>
    <i>
      <x v="6"/>
    </i>
    <i>
      <x/>
    </i>
    <i>
      <x v="1"/>
    </i>
    <i>
      <x v="5"/>
    </i>
    <i>
      <x v="4"/>
    </i>
    <i t="grand">
      <x/>
    </i>
  </rowItems>
  <colItems count="1">
    <i/>
  </colItems>
  <dataFields count="1">
    <dataField name="Sum of Sales" fld="5" baseField="0" baseItem="0"/>
  </dataFields>
  <formats count="6">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s>
  <chartFormats count="2">
    <chartFormat chart="12" format="5"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56819-055D-4264-BE44-136DC1C0E79F}" name="Monthl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
  <location ref="A3:B6" firstHeaderRow="1" firstDataRow="1" firstDataCol="1"/>
  <pivotFields count="10">
    <pivotField showAll="0"/>
    <pivotField axis="axisRow" numFmtId="14" showAll="0">
      <items count="16">
        <item x="0"/>
        <item x="1"/>
        <item x="2"/>
        <item x="3"/>
        <item x="4"/>
        <item x="5"/>
        <item x="6"/>
        <item x="7"/>
        <item x="8"/>
        <item x="9"/>
        <item x="10"/>
        <item x="11"/>
        <item x="12"/>
        <item x="13"/>
        <item x="14"/>
        <item t="default"/>
      </items>
    </pivotField>
    <pivotField showAll="0">
      <items count="5">
        <item x="3"/>
        <item x="1"/>
        <item x="2"/>
        <item x="0"/>
        <item t="default"/>
      </items>
    </pivotField>
    <pivotField showAll="0">
      <items count="4">
        <item x="1"/>
        <item x="2"/>
        <item x="0"/>
        <item t="default"/>
      </items>
    </pivotField>
    <pivotField showAll="0">
      <items count="11">
        <item x="1"/>
        <item x="8"/>
        <item x="0"/>
        <item x="3"/>
        <item x="6"/>
        <item x="2"/>
        <item x="9"/>
        <item x="7"/>
        <item x="4"/>
        <item x="5"/>
        <item t="default"/>
      </items>
    </pivotField>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9"/>
    <field x="8"/>
    <field x="1"/>
  </rowFields>
  <rowItems count="3">
    <i>
      <x v="1"/>
    </i>
    <i>
      <x v="2"/>
    </i>
    <i t="grand">
      <x/>
    </i>
  </rowItems>
  <colItems count="1">
    <i/>
  </colItems>
  <dataFields count="1">
    <dataField name="Sum of Sales" fld="5" baseField="0" baseItem="0"/>
  </dataFields>
  <formats count="6">
    <format dxfId="23">
      <pivotArea type="all" dataOnly="0" outline="0" fieldPosition="0"/>
    </format>
    <format dxfId="22">
      <pivotArea outline="0" collapsedLevelsAreSubtotals="1" fieldPosition="0"/>
    </format>
    <format dxfId="21">
      <pivotArea field="9" type="button" dataOnly="0" labelOnly="1" outline="0" axis="axisRow" fieldPosition="0"/>
    </format>
    <format dxfId="20">
      <pivotArea dataOnly="0" labelOnly="1" fieldPosition="0">
        <references count="1">
          <reference field="9" count="2">
            <x v="1"/>
            <x v="2"/>
          </reference>
        </references>
      </pivotArea>
    </format>
    <format dxfId="19">
      <pivotArea dataOnly="0" labelOnly="1" grandRow="1" outline="0" fieldPosition="0"/>
    </format>
    <format dxfId="18">
      <pivotArea dataOnly="0" labelOnly="1" outline="0" axis="axisValues" fieldPosition="0"/>
    </format>
  </formats>
  <chartFormats count="2">
    <chartFormat chart="3" format="8"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34AA5-2C48-40B0-AF60-BA5636BB3F20}" name="Profit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A3:B7" firstHeaderRow="1" firstDataRow="1" firstDataCol="1"/>
  <pivotFields count="10">
    <pivotField showAll="0"/>
    <pivotField numFmtId="14" showAll="0">
      <items count="16">
        <item x="0"/>
        <item x="1"/>
        <item x="2"/>
        <item x="3"/>
        <item x="4"/>
        <item x="5"/>
        <item x="6"/>
        <item x="7"/>
        <item x="8"/>
        <item x="9"/>
        <item x="10"/>
        <item x="11"/>
        <item x="12"/>
        <item x="13"/>
        <item x="14"/>
        <item t="default"/>
      </items>
    </pivotField>
    <pivotField showAll="0">
      <items count="5">
        <item x="3"/>
        <item x="1"/>
        <item x="2"/>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11">
        <item x="1"/>
        <item x="8"/>
        <item x="0"/>
        <item x="3"/>
        <item x="6"/>
        <item x="2"/>
        <item x="9"/>
        <item x="7"/>
        <item x="4"/>
        <item x="5"/>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2"/>
    </i>
    <i>
      <x/>
    </i>
    <i>
      <x v="1"/>
    </i>
    <i t="grand">
      <x/>
    </i>
  </rowItems>
  <colItems count="1">
    <i/>
  </colItems>
  <dataFields count="1">
    <dataField name="Sum of Profit" fld="6"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8">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0" format="19" series="1">
      <pivotArea type="data" outline="0" fieldPosition="0">
        <references count="1">
          <reference field="4294967294" count="1" selected="0">
            <x v="0"/>
          </reference>
        </references>
      </pivotArea>
    </chartFormat>
    <chartFormat chart="0" format="20">
      <pivotArea type="data" outline="0" fieldPosition="0">
        <references count="2">
          <reference field="4294967294" count="1" selected="0">
            <x v="0"/>
          </reference>
          <reference field="3" count="1" selected="0">
            <x v="2"/>
          </reference>
        </references>
      </pivotArea>
    </chartFormat>
    <chartFormat chart="0" format="21">
      <pivotArea type="data" outline="0" fieldPosition="0">
        <references count="2">
          <reference field="4294967294" count="1" selected="0">
            <x v="0"/>
          </reference>
          <reference field="3" count="1" selected="0">
            <x v="0"/>
          </reference>
        </references>
      </pivotArea>
    </chartFormat>
    <chartFormat chart="0" format="22">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4AB0E-A72A-4E21-86F3-B09D26A453DC}" name="Sales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A3:B8" firstHeaderRow="1" firstDataRow="1" firstDataCol="1"/>
  <pivotFields count="10">
    <pivotField showAll="0"/>
    <pivotField numFmtId="14" showAll="0">
      <items count="16">
        <item x="0"/>
        <item x="1"/>
        <item x="2"/>
        <item x="3"/>
        <item x="4"/>
        <item x="5"/>
        <item x="6"/>
        <item x="7"/>
        <item x="8"/>
        <item x="9"/>
        <item x="10"/>
        <item x="11"/>
        <item x="12"/>
        <item x="13"/>
        <item x="14"/>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11">
        <item x="1"/>
        <item x="8"/>
        <item x="0"/>
        <item x="3"/>
        <item x="6"/>
        <item x="2"/>
        <item x="9"/>
        <item x="7"/>
        <item x="4"/>
        <item x="5"/>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v="3"/>
    </i>
    <i>
      <x v="1"/>
    </i>
    <i>
      <x/>
    </i>
    <i t="grand">
      <x/>
    </i>
  </rowItems>
  <colItems count="1">
    <i/>
  </colItems>
  <dataFields count="1">
    <dataField name="Sum of Sales" fld="5" baseField="0"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1DB64D-37CC-4442-B47B-292368BE2DF5}" name="KPI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0">
    <pivotField dataField="1" showAll="0"/>
    <pivotField numFmtId="14" showAll="0">
      <items count="16">
        <item x="0"/>
        <item x="1"/>
        <item x="2"/>
        <item x="3"/>
        <item x="4"/>
        <item x="5"/>
        <item x="6"/>
        <item x="7"/>
        <item x="8"/>
        <item x="9"/>
        <item x="10"/>
        <item x="11"/>
        <item x="12"/>
        <item x="13"/>
        <item x="14"/>
        <item t="default"/>
      </items>
    </pivotField>
    <pivotField showAll="0">
      <items count="5">
        <item x="3"/>
        <item x="1"/>
        <item x="2"/>
        <item x="0"/>
        <item t="default"/>
      </items>
    </pivotField>
    <pivotField showAll="0">
      <items count="4">
        <item x="1"/>
        <item x="2"/>
        <item x="0"/>
        <item t="default"/>
      </items>
    </pivotField>
    <pivotField showAll="0">
      <items count="11">
        <item x="1"/>
        <item x="8"/>
        <item x="0"/>
        <item x="3"/>
        <item x="6"/>
        <item x="2"/>
        <item x="9"/>
        <item x="7"/>
        <item x="4"/>
        <item x="5"/>
        <item t="default"/>
      </items>
    </pivotField>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Total Sales" fld="5" baseField="0" baseItem="0" numFmtId="1"/>
    <dataField name="Total Profit" fld="6" baseField="0" baseItem="0" numFmtId="1"/>
    <dataField name="No. of Orders" fld="0" subtotal="count" baseField="0" baseItem="0" numFmtId="1"/>
  </dataFields>
  <formats count="6">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5270DC-8756-475A-818E-846C0915A291}" autoFormatId="16" applyNumberFormats="0" applyBorderFormats="0" applyFontFormats="0" applyPatternFormats="0" applyAlignmentFormats="0" applyWidthHeightFormats="0">
  <queryTableRefresh nextId="9">
    <queryTableFields count="8">
      <queryTableField id="1" name="Order_ID" tableColumnId="1"/>
      <queryTableField id="2" name="Order_Date" tableColumnId="2"/>
      <queryTableField id="3" name="Region" tableColumnId="3"/>
      <queryTableField id="4" name="Category" tableColumnId="4"/>
      <queryTableField id="5" name="Product" tableColumnId="5"/>
      <queryTableField id="6" name="Sales" tableColumnId="6"/>
      <queryTableField id="7" name="Profit" tableColumnId="7"/>
      <queryTableField id="8" name="Customer_Nam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373679-8B61-4790-8528-F3AEE4738071}" sourceName="Region">
  <pivotTables>
    <pivotTable tabId="5" name="Monthly_Sales"/>
    <pivotTable tabId="3" name="Sales_By_Region"/>
    <pivotTable tabId="4" name="Profit_by_Category"/>
    <pivotTable tabId="6" name="PivotTable4"/>
    <pivotTable tabId="11" name="KPI_pivot"/>
  </pivotTables>
  <data>
    <tabular pivotCacheId="1065807751">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011C8F-9935-48CB-A4E1-1DA39A7CFB70}" sourceName="Category">
  <pivotTables>
    <pivotTable tabId="5" name="Monthly_Sales"/>
    <pivotTable tabId="3" name="Sales_By_Region"/>
    <pivotTable tabId="4" name="Profit_by_Category"/>
    <pivotTable tabId="6" name="PivotTable4"/>
    <pivotTable tabId="11" name="KPI_pivot"/>
  </pivotTables>
  <data>
    <tabular pivotCacheId="10658077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2204A82-02AC-49BC-901C-C5326DCF8A2D}" sourceName="Product">
  <pivotTables>
    <pivotTable tabId="5" name="Monthly_Sales"/>
    <pivotTable tabId="3" name="Sales_By_Region"/>
    <pivotTable tabId="4" name="Profit_by_Category"/>
    <pivotTable tabId="6" name="PivotTable4"/>
    <pivotTable tabId="11" name="KPI_pivot"/>
  </pivotTables>
  <data>
    <tabular pivotCacheId="1065807751">
      <items count="10">
        <i x="1" s="1"/>
        <i x="8" s="1"/>
        <i x="0" s="1"/>
        <i x="3" s="1"/>
        <i x="6" s="1"/>
        <i x="2" s="1"/>
        <i x="9" s="1"/>
        <i x="7"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D93672-E0FC-4B92-9982-C2DE88AFAB01}" cache="Slicer_Region" caption="Region" rowHeight="241300"/>
  <slicer name="Category" xr10:uid="{C44FA595-9493-4FE6-9538-739DCB325D2A}" cache="Slicer_Category" caption="Category" rowHeight="241300"/>
  <slicer name="Product" xr10:uid="{7CAC614A-D8C6-4766-9887-B9F529BF9A31}"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B2DDDE-0833-4F8C-B42F-8B0E7AD7A85E}" name="salesdata" displayName="salesdata" ref="A1:H16" tableType="queryTable" totalsRowShown="0">
  <autoFilter ref="A1:H16" xr:uid="{6EB2DDDE-0833-4F8C-B42F-8B0E7AD7A85E}"/>
  <tableColumns count="8">
    <tableColumn id="1" xr3:uid="{EF80CA4C-BFC5-442F-8584-0062F0C8F410}" uniqueName="1" name="Order_ID" queryTableFieldId="1"/>
    <tableColumn id="2" xr3:uid="{5E4FAACF-1C06-42F9-A711-12D5DBDEB9C0}" uniqueName="2" name="Order_Date" queryTableFieldId="2" dataDxfId="34"/>
    <tableColumn id="3" xr3:uid="{76BF1112-5C9D-4440-B65B-984959F03E83}" uniqueName="3" name="Region" queryTableFieldId="3" dataDxfId="33"/>
    <tableColumn id="4" xr3:uid="{E3CA0065-F3F8-4F1B-9EAA-1EDE658F7314}" uniqueName="4" name="Category" queryTableFieldId="4" dataDxfId="32"/>
    <tableColumn id="5" xr3:uid="{E0EF3544-83D1-4A9C-BFB5-325DC550D51D}" uniqueName="5" name="Product" queryTableFieldId="5" dataDxfId="31"/>
    <tableColumn id="6" xr3:uid="{D0CBB84D-1F95-4BCE-95F9-8DB835F5373B}" uniqueName="6" name="Sales" queryTableFieldId="6"/>
    <tableColumn id="7" xr3:uid="{F289E8D7-5412-41C7-BAA7-0302BB8EFCF9}" uniqueName="7" name="Profit" queryTableFieldId="7"/>
    <tableColumn id="8" xr3:uid="{FBF9AF56-973E-417B-91B3-AA3160030B46}" uniqueName="8" name="Customer_Name" queryTableFieldId="8" data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A2F0-8AD4-499D-BE5C-D2B30FE6064C}">
  <sheetPr codeName="Sheet1"/>
  <dimension ref="A1:H16"/>
  <sheetViews>
    <sheetView workbookViewId="0"/>
  </sheetViews>
  <sheetFormatPr defaultRowHeight="14.5" x14ac:dyDescent="0.35"/>
  <cols>
    <col min="1" max="1" width="10.81640625" bestFit="1" customWidth="1"/>
    <col min="2" max="2" width="13" bestFit="1" customWidth="1"/>
    <col min="4" max="4" width="13.1796875" bestFit="1" customWidth="1"/>
    <col min="5" max="5" width="11.36328125" bestFit="1" customWidth="1"/>
    <col min="6" max="6" width="7.26953125" bestFit="1" customWidth="1"/>
    <col min="7" max="7" width="7.81640625" bestFit="1" customWidth="1"/>
    <col min="8" max="8" width="17.26953125" bestFit="1" customWidth="1"/>
  </cols>
  <sheetData>
    <row r="1" spans="1:8" x14ac:dyDescent="0.35">
      <c r="A1" t="s">
        <v>0</v>
      </c>
      <c r="B1" t="s">
        <v>1</v>
      </c>
      <c r="C1" t="s">
        <v>2</v>
      </c>
      <c r="D1" t="s">
        <v>3</v>
      </c>
      <c r="E1" t="s">
        <v>4</v>
      </c>
      <c r="F1" t="s">
        <v>5</v>
      </c>
      <c r="G1" t="s">
        <v>6</v>
      </c>
      <c r="H1" t="s">
        <v>7</v>
      </c>
    </row>
    <row r="2" spans="1:8" x14ac:dyDescent="0.35">
      <c r="A2">
        <v>1001</v>
      </c>
      <c r="B2" s="1">
        <v>45296</v>
      </c>
      <c r="C2" t="s">
        <v>8</v>
      </c>
      <c r="D2" t="s">
        <v>9</v>
      </c>
      <c r="E2" t="s">
        <v>10</v>
      </c>
      <c r="F2">
        <v>55000</v>
      </c>
      <c r="G2">
        <v>8000</v>
      </c>
      <c r="H2" t="s">
        <v>11</v>
      </c>
    </row>
    <row r="3" spans="1:8" x14ac:dyDescent="0.35">
      <c r="A3">
        <v>1002</v>
      </c>
      <c r="B3" s="1">
        <v>45298</v>
      </c>
      <c r="C3" t="s">
        <v>12</v>
      </c>
      <c r="D3" t="s">
        <v>13</v>
      </c>
      <c r="E3" t="s">
        <v>14</v>
      </c>
      <c r="F3">
        <v>4000</v>
      </c>
      <c r="G3">
        <v>500</v>
      </c>
      <c r="H3" t="s">
        <v>15</v>
      </c>
    </row>
    <row r="4" spans="1:8" x14ac:dyDescent="0.35">
      <c r="A4">
        <v>1003</v>
      </c>
      <c r="B4" s="1">
        <v>45301</v>
      </c>
      <c r="C4" t="s">
        <v>16</v>
      </c>
      <c r="D4" t="s">
        <v>17</v>
      </c>
      <c r="E4" t="s">
        <v>18</v>
      </c>
      <c r="F4">
        <v>500</v>
      </c>
      <c r="G4">
        <v>150</v>
      </c>
      <c r="H4" t="s">
        <v>19</v>
      </c>
    </row>
    <row r="5" spans="1:8" x14ac:dyDescent="0.35">
      <c r="A5">
        <v>1004</v>
      </c>
      <c r="B5" s="1">
        <v>45303</v>
      </c>
      <c r="C5" t="s">
        <v>20</v>
      </c>
      <c r="D5" t="s">
        <v>9</v>
      </c>
      <c r="E5" t="s">
        <v>21</v>
      </c>
      <c r="F5">
        <v>20000</v>
      </c>
      <c r="G5">
        <v>3000</v>
      </c>
      <c r="H5" t="s">
        <v>22</v>
      </c>
    </row>
    <row r="6" spans="1:8" x14ac:dyDescent="0.35">
      <c r="A6">
        <v>1005</v>
      </c>
      <c r="B6" s="1">
        <v>45306</v>
      </c>
      <c r="C6" t="s">
        <v>8</v>
      </c>
      <c r="D6" t="s">
        <v>13</v>
      </c>
      <c r="E6" t="s">
        <v>23</v>
      </c>
      <c r="F6">
        <v>7000</v>
      </c>
      <c r="G6">
        <v>1000</v>
      </c>
      <c r="H6" t="s">
        <v>24</v>
      </c>
    </row>
    <row r="7" spans="1:8" x14ac:dyDescent="0.35">
      <c r="A7">
        <v>1006</v>
      </c>
      <c r="B7" s="1">
        <v>45309</v>
      </c>
      <c r="C7" t="s">
        <v>12</v>
      </c>
      <c r="D7" t="s">
        <v>9</v>
      </c>
      <c r="E7" t="s">
        <v>25</v>
      </c>
      <c r="F7">
        <v>15000</v>
      </c>
      <c r="G7">
        <v>2500</v>
      </c>
      <c r="H7" t="s">
        <v>26</v>
      </c>
    </row>
    <row r="8" spans="1:8" x14ac:dyDescent="0.35">
      <c r="A8">
        <v>1007</v>
      </c>
      <c r="B8" s="1">
        <v>45311</v>
      </c>
      <c r="C8" t="s">
        <v>16</v>
      </c>
      <c r="D8" t="s">
        <v>17</v>
      </c>
      <c r="E8" t="s">
        <v>27</v>
      </c>
      <c r="F8">
        <v>1200</v>
      </c>
      <c r="G8">
        <v>300</v>
      </c>
      <c r="H8" t="s">
        <v>28</v>
      </c>
    </row>
    <row r="9" spans="1:8" x14ac:dyDescent="0.35">
      <c r="A9">
        <v>1008</v>
      </c>
      <c r="B9" s="1">
        <v>45313</v>
      </c>
      <c r="C9" t="s">
        <v>20</v>
      </c>
      <c r="D9" t="s">
        <v>13</v>
      </c>
      <c r="E9" t="s">
        <v>29</v>
      </c>
      <c r="F9">
        <v>25000</v>
      </c>
      <c r="G9">
        <v>4000</v>
      </c>
      <c r="H9" t="s">
        <v>30</v>
      </c>
    </row>
    <row r="10" spans="1:8" x14ac:dyDescent="0.35">
      <c r="A10">
        <v>1009</v>
      </c>
      <c r="B10" s="1">
        <v>45316</v>
      </c>
      <c r="C10" t="s">
        <v>8</v>
      </c>
      <c r="D10" t="s">
        <v>9</v>
      </c>
      <c r="E10" t="s">
        <v>31</v>
      </c>
      <c r="F10">
        <v>3000</v>
      </c>
      <c r="G10">
        <v>700</v>
      </c>
      <c r="H10" t="s">
        <v>32</v>
      </c>
    </row>
    <row r="11" spans="1:8" x14ac:dyDescent="0.35">
      <c r="A11">
        <v>1010</v>
      </c>
      <c r="B11" s="1">
        <v>45319</v>
      </c>
      <c r="C11" t="s">
        <v>12</v>
      </c>
      <c r="D11" t="s">
        <v>17</v>
      </c>
      <c r="E11" t="s">
        <v>33</v>
      </c>
      <c r="F11">
        <v>12000</v>
      </c>
      <c r="G11">
        <v>2000</v>
      </c>
      <c r="H11" t="s">
        <v>34</v>
      </c>
    </row>
    <row r="12" spans="1:8" x14ac:dyDescent="0.35">
      <c r="A12">
        <v>1011</v>
      </c>
      <c r="B12" s="1">
        <v>45324</v>
      </c>
      <c r="C12" t="s">
        <v>16</v>
      </c>
      <c r="D12" t="s">
        <v>9</v>
      </c>
      <c r="E12" t="s">
        <v>10</v>
      </c>
      <c r="F12">
        <v>60000</v>
      </c>
      <c r="G12">
        <v>9000</v>
      </c>
      <c r="H12" t="s">
        <v>35</v>
      </c>
    </row>
    <row r="13" spans="1:8" x14ac:dyDescent="0.35">
      <c r="A13">
        <v>1012</v>
      </c>
      <c r="B13" s="1">
        <v>45327</v>
      </c>
      <c r="C13" t="s">
        <v>20</v>
      </c>
      <c r="D13" t="s">
        <v>13</v>
      </c>
      <c r="E13" t="s">
        <v>14</v>
      </c>
      <c r="F13">
        <v>4500</v>
      </c>
      <c r="G13">
        <v>600</v>
      </c>
      <c r="H13" t="s">
        <v>36</v>
      </c>
    </row>
    <row r="14" spans="1:8" x14ac:dyDescent="0.35">
      <c r="A14">
        <v>1013</v>
      </c>
      <c r="B14" s="1">
        <v>45330</v>
      </c>
      <c r="C14" t="s">
        <v>8</v>
      </c>
      <c r="D14" t="s">
        <v>17</v>
      </c>
      <c r="E14" t="s">
        <v>18</v>
      </c>
      <c r="F14">
        <v>700</v>
      </c>
      <c r="G14">
        <v>200</v>
      </c>
      <c r="H14" t="s">
        <v>37</v>
      </c>
    </row>
    <row r="15" spans="1:8" x14ac:dyDescent="0.35">
      <c r="A15">
        <v>1014</v>
      </c>
      <c r="B15" s="1">
        <v>45332</v>
      </c>
      <c r="C15" t="s">
        <v>12</v>
      </c>
      <c r="D15" t="s">
        <v>9</v>
      </c>
      <c r="E15" t="s">
        <v>21</v>
      </c>
      <c r="F15">
        <v>22000</v>
      </c>
      <c r="G15">
        <v>3500</v>
      </c>
      <c r="H15" t="s">
        <v>38</v>
      </c>
    </row>
    <row r="16" spans="1:8" x14ac:dyDescent="0.35">
      <c r="A16">
        <v>1015</v>
      </c>
      <c r="B16" s="1">
        <v>45336</v>
      </c>
      <c r="C16" t="s">
        <v>16</v>
      </c>
      <c r="D16" t="s">
        <v>13</v>
      </c>
      <c r="E16" t="s">
        <v>23</v>
      </c>
      <c r="F16">
        <v>8000</v>
      </c>
      <c r="G16">
        <v>1200</v>
      </c>
      <c r="H16"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E6109-AD75-40A6-A91F-211831201A7A}">
  <sheetPr codeName="Sheet2"/>
  <dimension ref="A3:I14"/>
  <sheetViews>
    <sheetView workbookViewId="0"/>
  </sheetViews>
  <sheetFormatPr defaultRowHeight="14.5" x14ac:dyDescent="0.35"/>
  <cols>
    <col min="1" max="1" width="11.36328125" bestFit="1" customWidth="1"/>
    <col min="2" max="2" width="11.26953125" bestFit="1" customWidth="1"/>
  </cols>
  <sheetData>
    <row r="3" spans="1:9" ht="15.5" x14ac:dyDescent="0.35">
      <c r="A3" s="2" t="s">
        <v>4</v>
      </c>
      <c r="B3" s="3" t="s">
        <v>40</v>
      </c>
      <c r="E3" s="6" t="s">
        <v>48</v>
      </c>
      <c r="F3" s="6"/>
      <c r="G3" s="6"/>
      <c r="H3" s="6"/>
      <c r="I3" s="6"/>
    </row>
    <row r="4" spans="1:9" x14ac:dyDescent="0.35">
      <c r="A4" s="4" t="s">
        <v>10</v>
      </c>
      <c r="B4" s="3">
        <v>115000</v>
      </c>
    </row>
    <row r="5" spans="1:9" x14ac:dyDescent="0.35">
      <c r="A5" s="4" t="s">
        <v>21</v>
      </c>
      <c r="B5" s="3">
        <v>42000</v>
      </c>
    </row>
    <row r="6" spans="1:9" x14ac:dyDescent="0.35">
      <c r="A6" s="4" t="s">
        <v>29</v>
      </c>
      <c r="B6" s="3">
        <v>25000</v>
      </c>
    </row>
    <row r="7" spans="1:9" x14ac:dyDescent="0.35">
      <c r="A7" s="4" t="s">
        <v>23</v>
      </c>
      <c r="B7" s="3">
        <v>15000</v>
      </c>
    </row>
    <row r="8" spans="1:9" x14ac:dyDescent="0.35">
      <c r="A8" s="4" t="s">
        <v>25</v>
      </c>
      <c r="B8" s="3">
        <v>15000</v>
      </c>
    </row>
    <row r="9" spans="1:9" x14ac:dyDescent="0.35">
      <c r="A9" s="4" t="s">
        <v>33</v>
      </c>
      <c r="B9" s="3">
        <v>12000</v>
      </c>
    </row>
    <row r="10" spans="1:9" x14ac:dyDescent="0.35">
      <c r="A10" s="4" t="s">
        <v>14</v>
      </c>
      <c r="B10" s="3">
        <v>8500</v>
      </c>
    </row>
    <row r="11" spans="1:9" x14ac:dyDescent="0.35">
      <c r="A11" s="4" t="s">
        <v>31</v>
      </c>
      <c r="B11" s="3">
        <v>3000</v>
      </c>
    </row>
    <row r="12" spans="1:9" x14ac:dyDescent="0.35">
      <c r="A12" s="4" t="s">
        <v>18</v>
      </c>
      <c r="B12" s="3">
        <v>1200</v>
      </c>
    </row>
    <row r="13" spans="1:9" x14ac:dyDescent="0.35">
      <c r="A13" s="4" t="s">
        <v>27</v>
      </c>
      <c r="B13" s="3">
        <v>1200</v>
      </c>
    </row>
    <row r="14" spans="1:9" x14ac:dyDescent="0.35">
      <c r="A14" s="4" t="s">
        <v>41</v>
      </c>
      <c r="B14" s="3">
        <v>237900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DD1CE-F9EB-4D2E-8390-279DE9461EE2}">
  <sheetPr codeName="Sheet3"/>
  <dimension ref="A3:J6"/>
  <sheetViews>
    <sheetView workbookViewId="0"/>
  </sheetViews>
  <sheetFormatPr defaultRowHeight="14.5" x14ac:dyDescent="0.35"/>
  <cols>
    <col min="1" max="1" width="10.7265625" bestFit="1" customWidth="1"/>
    <col min="2" max="2" width="11.26953125" bestFit="1" customWidth="1"/>
  </cols>
  <sheetData>
    <row r="3" spans="1:10" ht="15.5" x14ac:dyDescent="0.35">
      <c r="A3" s="2" t="s">
        <v>47</v>
      </c>
      <c r="B3" s="3" t="s">
        <v>40</v>
      </c>
      <c r="D3" s="6" t="s">
        <v>49</v>
      </c>
      <c r="E3" s="6"/>
      <c r="F3" s="6"/>
      <c r="G3" s="6"/>
      <c r="H3" s="6"/>
      <c r="I3" s="6"/>
      <c r="J3" s="6"/>
    </row>
    <row r="4" spans="1:10" x14ac:dyDescent="0.35">
      <c r="A4" s="4" t="s">
        <v>43</v>
      </c>
      <c r="B4" s="3">
        <v>142700</v>
      </c>
    </row>
    <row r="5" spans="1:10" x14ac:dyDescent="0.35">
      <c r="A5" s="4" t="s">
        <v>44</v>
      </c>
      <c r="B5" s="3">
        <v>95200</v>
      </c>
    </row>
    <row r="6" spans="1:10" x14ac:dyDescent="0.35">
      <c r="A6" s="4" t="s">
        <v>41</v>
      </c>
      <c r="B6" s="3">
        <v>237900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2F59-145C-478B-A466-61B15EE32AF6}">
  <sheetPr codeName="Sheet4"/>
  <dimension ref="A3:I7"/>
  <sheetViews>
    <sheetView workbookViewId="0">
      <selection activeCell="N18" sqref="N18"/>
    </sheetView>
  </sheetViews>
  <sheetFormatPr defaultRowHeight="14.5" x14ac:dyDescent="0.35"/>
  <cols>
    <col min="1" max="1" width="13.1796875" bestFit="1" customWidth="1"/>
    <col min="2" max="2" width="11.81640625" bestFit="1" customWidth="1"/>
  </cols>
  <sheetData>
    <row r="3" spans="1:9" ht="15.5" x14ac:dyDescent="0.35">
      <c r="A3" s="2" t="s">
        <v>3</v>
      </c>
      <c r="B3" s="3" t="s">
        <v>42</v>
      </c>
      <c r="D3" s="6" t="s">
        <v>46</v>
      </c>
      <c r="E3" s="6"/>
      <c r="F3" s="6"/>
      <c r="G3" s="6"/>
      <c r="H3" s="6"/>
      <c r="I3" s="6"/>
    </row>
    <row r="4" spans="1:9" x14ac:dyDescent="0.35">
      <c r="A4" s="4" t="s">
        <v>9</v>
      </c>
      <c r="B4" s="3">
        <v>26700</v>
      </c>
    </row>
    <row r="5" spans="1:9" x14ac:dyDescent="0.35">
      <c r="A5" s="4" t="s">
        <v>13</v>
      </c>
      <c r="B5" s="3">
        <v>7300</v>
      </c>
    </row>
    <row r="6" spans="1:9" x14ac:dyDescent="0.35">
      <c r="A6" s="4" t="s">
        <v>17</v>
      </c>
      <c r="B6" s="3">
        <v>2650</v>
      </c>
    </row>
    <row r="7" spans="1:9" x14ac:dyDescent="0.35">
      <c r="A7" s="4" t="s">
        <v>41</v>
      </c>
      <c r="B7" s="3">
        <v>36650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B886-0A32-4A8E-964F-6D956CD3FB09}">
  <sheetPr codeName="Sheet5"/>
  <dimension ref="A3:H8"/>
  <sheetViews>
    <sheetView workbookViewId="0"/>
  </sheetViews>
  <sheetFormatPr defaultRowHeight="14.5" x14ac:dyDescent="0.35"/>
  <cols>
    <col min="1" max="1" width="10.7265625" bestFit="1" customWidth="1"/>
    <col min="2" max="2" width="11.26953125" bestFit="1" customWidth="1"/>
  </cols>
  <sheetData>
    <row r="3" spans="1:8" ht="15.5" x14ac:dyDescent="0.35">
      <c r="A3" s="2" t="s">
        <v>2</v>
      </c>
      <c r="B3" s="3" t="s">
        <v>40</v>
      </c>
      <c r="D3" s="6" t="s">
        <v>45</v>
      </c>
      <c r="E3" s="5"/>
      <c r="F3" s="5"/>
      <c r="G3" s="5"/>
      <c r="H3" s="5"/>
    </row>
    <row r="4" spans="1:8" x14ac:dyDescent="0.35">
      <c r="A4" s="4" t="s">
        <v>16</v>
      </c>
      <c r="B4" s="3">
        <v>69700</v>
      </c>
    </row>
    <row r="5" spans="1:8" x14ac:dyDescent="0.35">
      <c r="A5" s="4" t="s">
        <v>8</v>
      </c>
      <c r="B5" s="3">
        <v>65700</v>
      </c>
    </row>
    <row r="6" spans="1:8" x14ac:dyDescent="0.35">
      <c r="A6" s="4" t="s">
        <v>12</v>
      </c>
      <c r="B6" s="3">
        <v>53000</v>
      </c>
    </row>
    <row r="7" spans="1:8" x14ac:dyDescent="0.35">
      <c r="A7" s="4" t="s">
        <v>20</v>
      </c>
      <c r="B7" s="3">
        <v>49500</v>
      </c>
    </row>
    <row r="8" spans="1:8" x14ac:dyDescent="0.35">
      <c r="A8" s="4" t="s">
        <v>41</v>
      </c>
      <c r="B8" s="3">
        <v>237900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66A3-FC9E-4E4F-979F-5190D2AE2294}">
  <sheetPr codeName="Sheet6"/>
  <dimension ref="A3:C4"/>
  <sheetViews>
    <sheetView workbookViewId="0"/>
  </sheetViews>
  <sheetFormatPr defaultRowHeight="14.5" x14ac:dyDescent="0.35"/>
  <cols>
    <col min="1" max="1" width="9.7265625" style="9" bestFit="1" customWidth="1"/>
    <col min="2" max="2" width="10.26953125" style="9" bestFit="1" customWidth="1"/>
    <col min="3" max="3" width="12.08984375" style="9" bestFit="1" customWidth="1"/>
  </cols>
  <sheetData>
    <row r="3" spans="1:3" x14ac:dyDescent="0.35">
      <c r="A3" s="9" t="s">
        <v>51</v>
      </c>
      <c r="B3" s="9" t="s">
        <v>52</v>
      </c>
      <c r="C3" s="9" t="s">
        <v>53</v>
      </c>
    </row>
    <row r="4" spans="1:3" x14ac:dyDescent="0.35">
      <c r="A4" s="9">
        <v>237900</v>
      </c>
      <c r="B4" s="9">
        <v>36650</v>
      </c>
      <c r="C4" s="9">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9702D-D416-4A94-B5F3-D99087BA1E34}">
  <sheetPr codeName="Sheet7"/>
  <dimension ref="E1:AE25"/>
  <sheetViews>
    <sheetView showGridLines="0" showRowColHeaders="0" topLeftCell="B6" zoomScale="55" zoomScaleNormal="55" workbookViewId="0">
      <selection activeCell="AH48" sqref="AH48"/>
    </sheetView>
  </sheetViews>
  <sheetFormatPr defaultRowHeight="14.5" x14ac:dyDescent="0.35"/>
  <cols>
    <col min="28" max="28" width="22.54296875" bestFit="1" customWidth="1"/>
    <col min="29" max="29" width="14.81640625" bestFit="1" customWidth="1"/>
  </cols>
  <sheetData>
    <row r="1" spans="5:30" ht="14.5" customHeight="1" x14ac:dyDescent="0.35">
      <c r="E1" s="11" t="s">
        <v>50</v>
      </c>
      <c r="F1" s="12"/>
      <c r="G1" s="12"/>
      <c r="H1" s="12"/>
      <c r="I1" s="12"/>
      <c r="J1" s="12"/>
      <c r="K1" s="12"/>
      <c r="L1" s="12"/>
      <c r="M1" s="12"/>
      <c r="N1" s="12"/>
      <c r="O1" s="12"/>
      <c r="P1" s="12"/>
      <c r="Q1" s="12"/>
      <c r="R1" s="12"/>
      <c r="S1" s="12"/>
      <c r="T1" s="12"/>
      <c r="U1" s="12"/>
      <c r="V1" s="12"/>
      <c r="W1" s="12"/>
      <c r="X1" s="12"/>
      <c r="Y1" s="12"/>
    </row>
    <row r="2" spans="5:30" ht="14.5" customHeight="1" x14ac:dyDescent="0.35">
      <c r="E2" s="12"/>
      <c r="F2" s="12"/>
      <c r="G2" s="12"/>
      <c r="H2" s="12"/>
      <c r="I2" s="12"/>
      <c r="J2" s="12"/>
      <c r="K2" s="12"/>
      <c r="L2" s="12"/>
      <c r="M2" s="12"/>
      <c r="N2" s="12"/>
      <c r="O2" s="12"/>
      <c r="P2" s="12"/>
      <c r="Q2" s="12"/>
      <c r="R2" s="12"/>
      <c r="S2" s="12"/>
      <c r="T2" s="12"/>
      <c r="U2" s="12"/>
      <c r="V2" s="12"/>
      <c r="W2" s="12"/>
      <c r="X2" s="12"/>
      <c r="Y2" s="12"/>
    </row>
    <row r="3" spans="5:30" x14ac:dyDescent="0.35">
      <c r="E3" s="12"/>
      <c r="F3" s="12"/>
      <c r="G3" s="12"/>
      <c r="H3" s="12"/>
      <c r="I3" s="12"/>
      <c r="J3" s="12"/>
      <c r="K3" s="12"/>
      <c r="L3" s="12"/>
      <c r="M3" s="12"/>
      <c r="N3" s="12"/>
      <c r="O3" s="12"/>
      <c r="P3" s="12"/>
      <c r="Q3" s="12"/>
      <c r="R3" s="12"/>
      <c r="S3" s="12"/>
      <c r="T3" s="12"/>
      <c r="U3" s="12"/>
      <c r="V3" s="12"/>
      <c r="W3" s="12"/>
      <c r="X3" s="12"/>
      <c r="Y3" s="12"/>
    </row>
    <row r="15" spans="5:30" ht="31" x14ac:dyDescent="0.7">
      <c r="AC15" s="13" t="s">
        <v>51</v>
      </c>
      <c r="AD15" s="7"/>
    </row>
    <row r="16" spans="5:30" ht="31" x14ac:dyDescent="0.7">
      <c r="AC16" s="10">
        <f>GETPIVOTDATA("Total Sales",KPI!$A$3)</f>
        <v>237900</v>
      </c>
    </row>
    <row r="19" spans="29:31" ht="31" x14ac:dyDescent="0.7">
      <c r="AC19" s="14" t="s">
        <v>52</v>
      </c>
      <c r="AD19" s="7"/>
    </row>
    <row r="20" spans="29:31" ht="31" x14ac:dyDescent="0.7">
      <c r="AC20" s="10">
        <f>GETPIVOTDATA("Total Profit",KPI!$A$3)</f>
        <v>36650</v>
      </c>
    </row>
    <row r="24" spans="29:31" ht="31" x14ac:dyDescent="0.7">
      <c r="AC24" s="14" t="s">
        <v>53</v>
      </c>
      <c r="AD24" s="7"/>
      <c r="AE24" s="7"/>
    </row>
    <row r="25" spans="29:31" ht="33.5" x14ac:dyDescent="0.75">
      <c r="AC25" s="10">
        <f>GETPIVOTDATA("No. of Orders",KPI!$A$3)</f>
        <v>15</v>
      </c>
      <c r="AD25" s="8"/>
    </row>
  </sheetData>
  <mergeCells count="1">
    <mergeCell ref="E1:Y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EDF6-4B72-43DA-9B5F-9971FBE6DD88}">
  <sheetPr codeName="Sheet8"/>
  <dimension ref="A1"/>
  <sheetViews>
    <sheetView tabSelected="1" workbookViewId="0">
      <selection activeCell="O18" sqref="O18"/>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B90B65-159A-479D-9B0D-1461623DE5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Product Sales</vt:lpstr>
      <vt:lpstr>monthly sales</vt:lpstr>
      <vt:lpstr>category sales</vt:lpstr>
      <vt:lpstr>Region sales</vt:lpstr>
      <vt:lpstr>KPI</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More</dc:creator>
  <cp:lastModifiedBy>Priyanka More</cp:lastModifiedBy>
  <dcterms:created xsi:type="dcterms:W3CDTF">2026-05-04T09:47:33Z</dcterms:created>
  <dcterms:modified xsi:type="dcterms:W3CDTF">2026-05-07T01:43:55Z</dcterms:modified>
</cp:coreProperties>
</file>